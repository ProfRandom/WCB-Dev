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E864832E-EAD4-0146-B456-191F123593DA}" xr6:coauthVersionLast="47" xr6:coauthVersionMax="47" xr10:uidLastSave="{00000000-0000-0000-0000-000000000000}"/>
  <bookViews>
    <workbookView xWindow="2520" yWindow="2560" windowWidth="33400" windowHeight="17660" tabRatio="833" activeTab="2" xr2:uid="{1F53B416-A8EA-154F-927D-A8DD520A3B1E}"/>
  </bookViews>
  <sheets>
    <sheet name="Stele-Rosetta system" sheetId="39" r:id="rId1"/>
    <sheet name="Stele" sheetId="41" r:id="rId2"/>
    <sheet name="Resonances" sheetId="45" r:id="rId3"/>
    <sheet name="Sheet1" sheetId="43" r:id="rId4"/>
    <sheet name="Hororology" sheetId="40" r:id="rId5"/>
    <sheet name="Sheet1 (2)" sheetId="44" r:id="rId6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5" l="1" a="1"/>
  <c r="H3" i="45" s="1"/>
  <c r="H17" i="45" a="1"/>
  <c r="H17" i="45" s="1"/>
  <c r="L18" i="44" a="1"/>
  <c r="L18" i="44" s="1"/>
  <c r="P4" i="44" s="1" a="1"/>
  <c r="P4" i="44" s="1"/>
  <c r="K18" i="44" a="1"/>
  <c r="K18" i="44" s="1"/>
  <c r="O15" i="44" a="1"/>
  <c r="O15" i="44" s="1"/>
  <c r="O14" i="44" a="1"/>
  <c r="O14" i="44" s="1"/>
  <c r="O13" i="44" a="1"/>
  <c r="O13" i="44" s="1"/>
  <c r="O12" i="44" a="1"/>
  <c r="O12" i="44" s="1"/>
  <c r="L4" i="44" a="1"/>
  <c r="L4" i="44" s="1"/>
  <c r="I26" i="44"/>
  <c r="J26" i="44" s="1"/>
  <c r="I32" i="44" a="1"/>
  <c r="I32" i="44" s="1"/>
  <c r="I33" i="44" a="1"/>
  <c r="I33" i="44" s="1"/>
  <c r="I34" i="44" a="1"/>
  <c r="I34" i="44"/>
  <c r="I35" i="44" a="1"/>
  <c r="I35" i="44" s="1"/>
  <c r="I36" i="44" a="1"/>
  <c r="I36" i="44"/>
  <c r="I37" i="44" a="1"/>
  <c r="I37" i="44" s="1"/>
  <c r="I38" i="44" a="1"/>
  <c r="I38" i="44" s="1"/>
  <c r="I39" i="44" a="1"/>
  <c r="I39" i="44" s="1"/>
  <c r="I40" i="44" a="1"/>
  <c r="I40" i="44" s="1"/>
  <c r="I41" i="44" a="1"/>
  <c r="I41" i="44" s="1"/>
  <c r="I42" i="44" a="1"/>
  <c r="I42" i="44" s="1"/>
  <c r="E32" i="44" a="1"/>
  <c r="E32" i="44" s="1"/>
  <c r="E33" i="44" a="1"/>
  <c r="E33" i="44" s="1"/>
  <c r="E34" i="44" a="1"/>
  <c r="E34" i="44"/>
  <c r="E35" i="44" a="1"/>
  <c r="E35" i="44" s="1"/>
  <c r="E36" i="44" a="1"/>
  <c r="E36" i="44" s="1"/>
  <c r="E37" i="44" a="1"/>
  <c r="E37" i="44" s="1"/>
  <c r="E38" i="44" a="1"/>
  <c r="E38" i="44" s="1"/>
  <c r="E39" i="44" a="1"/>
  <c r="E39" i="44" s="1"/>
  <c r="E40" i="44" a="1"/>
  <c r="E40" i="44" s="1"/>
  <c r="E41" i="44" a="1"/>
  <c r="E41" i="44" s="1"/>
  <c r="E42" i="44" a="1"/>
  <c r="E42" i="44" s="1"/>
  <c r="D21" i="45"/>
  <c r="E21" i="45"/>
  <c r="F21" i="45"/>
  <c r="D20" i="45"/>
  <c r="E20" i="45"/>
  <c r="F20" i="45"/>
  <c r="D19" i="45"/>
  <c r="E19" i="45"/>
  <c r="F19" i="45"/>
  <c r="F18" i="45"/>
  <c r="E18" i="45"/>
  <c r="D18" i="45"/>
  <c r="F17" i="45"/>
  <c r="E17" i="45"/>
  <c r="D17" i="45"/>
  <c r="F3" i="45"/>
  <c r="F4" i="45"/>
  <c r="F6" i="45"/>
  <c r="F7" i="45"/>
  <c r="F9" i="45"/>
  <c r="F11" i="45"/>
  <c r="F12" i="45"/>
  <c r="F10" i="45"/>
  <c r="F8" i="45"/>
  <c r="F5" i="45"/>
  <c r="E3" i="45"/>
  <c r="E4" i="45"/>
  <c r="E6" i="45"/>
  <c r="E7" i="45"/>
  <c r="E9" i="45"/>
  <c r="E11" i="45"/>
  <c r="E12" i="45"/>
  <c r="E10" i="45"/>
  <c r="E8" i="45"/>
  <c r="E5" i="45"/>
  <c r="D5" i="45"/>
  <c r="D8" i="45"/>
  <c r="D10" i="45"/>
  <c r="D3" i="45"/>
  <c r="D4" i="45"/>
  <c r="D6" i="45"/>
  <c r="D7" i="45"/>
  <c r="D9" i="45"/>
  <c r="D11" i="45"/>
  <c r="D12" i="45"/>
  <c r="T17" i="43" a="1"/>
  <c r="T17" i="43" s="1"/>
  <c r="T18" i="43" a="1"/>
  <c r="T18" i="43" s="1"/>
  <c r="T19" i="43" a="1"/>
  <c r="T19" i="43" s="1"/>
  <c r="T20" i="43" a="1"/>
  <c r="T20" i="43" s="1"/>
  <c r="T21" i="43" a="1"/>
  <c r="T21" i="43"/>
  <c r="T22" i="43" a="1"/>
  <c r="T22" i="43" s="1"/>
  <c r="T23" i="43" a="1"/>
  <c r="T23" i="43" s="1"/>
  <c r="T24" i="43" a="1"/>
  <c r="T24" i="43" s="1"/>
  <c r="T16" i="43" a="1"/>
  <c r="T16" i="43" s="1"/>
  <c r="S17" i="43"/>
  <c r="S18" i="43"/>
  <c r="S19" i="43"/>
  <c r="S20" i="43"/>
  <c r="S21" i="43"/>
  <c r="S22" i="43"/>
  <c r="S23" i="43"/>
  <c r="S24" i="43"/>
  <c r="S16" i="43"/>
  <c r="P34" i="43" a="1"/>
  <c r="P34" i="43" s="1"/>
  <c r="P35" i="43" a="1"/>
  <c r="P35" i="43" s="1"/>
  <c r="P36" i="43" a="1"/>
  <c r="P36" i="43" s="1"/>
  <c r="P37" i="43" a="1"/>
  <c r="P37" i="43" s="1"/>
  <c r="P38" i="43" a="1"/>
  <c r="P38" i="43" s="1"/>
  <c r="P39" i="43" a="1"/>
  <c r="P39" i="43" s="1"/>
  <c r="P40" i="43" a="1"/>
  <c r="P40" i="43" s="1"/>
  <c r="P33" i="43" a="1"/>
  <c r="P33" i="43" s="1"/>
  <c r="P32" i="43" a="1"/>
  <c r="P32" i="43" s="1"/>
  <c r="K27" i="43" a="1"/>
  <c r="K27" i="43" s="1"/>
  <c r="V85" i="41" a="1"/>
  <c r="V85" i="41" s="1"/>
  <c r="V86" i="41" a="1"/>
  <c r="V86" i="41" s="1"/>
  <c r="V87" i="41" a="1"/>
  <c r="V87" i="41" s="1"/>
  <c r="V88" i="41" a="1"/>
  <c r="V88" i="41" s="1"/>
  <c r="V89" i="41" a="1"/>
  <c r="V89" i="41" s="1"/>
  <c r="R86" i="41"/>
  <c r="Q85" i="41"/>
  <c r="R85" i="41" s="1"/>
  <c r="H42" i="44"/>
  <c r="H41" i="44"/>
  <c r="H40" i="44"/>
  <c r="H39" i="44"/>
  <c r="D37" i="44"/>
  <c r="H37" i="44" s="1"/>
  <c r="H36" i="44"/>
  <c r="H34" i="44"/>
  <c r="H32" i="44"/>
  <c r="H31" i="44"/>
  <c r="C17" i="44"/>
  <c r="C16" i="44"/>
  <c r="C12" i="44"/>
  <c r="C9" i="44"/>
  <c r="C8" i="44"/>
  <c r="C10" i="44" s="1"/>
  <c r="D7" i="44"/>
  <c r="G29" i="44" s="1" a="1"/>
  <c r="D6" i="44"/>
  <c r="C29" i="44" s="1" a="1"/>
  <c r="C2" i="44"/>
  <c r="C11" i="44" s="1"/>
  <c r="C14" i="44" s="1" a="1"/>
  <c r="C14" i="44" s="1"/>
  <c r="C15" i="44" s="1"/>
  <c r="C2" i="43"/>
  <c r="C59" i="41"/>
  <c r="C19" i="44" l="1"/>
  <c r="C18" i="44"/>
  <c r="C20" i="44" s="1"/>
  <c r="E20" i="44" s="1"/>
  <c r="C21" i="44"/>
  <c r="E21" i="44" s="1"/>
  <c r="G29" i="44"/>
  <c r="I31" i="44" a="1"/>
  <c r="I31" i="44" s="1"/>
  <c r="E31" i="44" a="1"/>
  <c r="E31" i="44" s="1"/>
  <c r="C29" i="44"/>
  <c r="H28" i="43"/>
  <c r="H29" i="43"/>
  <c r="H30" i="43"/>
  <c r="H31" i="43"/>
  <c r="H32" i="43"/>
  <c r="H33" i="43"/>
  <c r="H34" i="43"/>
  <c r="H35" i="43"/>
  <c r="H27" i="43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M4" i="44" l="1" a="1"/>
  <c r="E31" i="43" a="1"/>
  <c r="E31" i="43" s="1"/>
  <c r="I11" i="39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15" i="43" s="1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M4" i="44" l="1"/>
  <c r="O5" i="44" a="1"/>
  <c r="O5" i="44" s="1"/>
  <c r="O10" i="44" a="1"/>
  <c r="O10" i="44" s="1"/>
  <c r="O9" i="44" a="1"/>
  <c r="O9" i="44" s="1"/>
  <c r="O7" i="44" a="1"/>
  <c r="O7" i="44" s="1"/>
  <c r="I24" i="44"/>
  <c r="J24" i="44" s="1"/>
  <c r="I22" i="44"/>
  <c r="J22" i="44" s="1"/>
  <c r="I12" i="44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J32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34" i="43" l="1"/>
  <c r="J35" i="43"/>
  <c r="J27" i="43"/>
  <c r="J31" i="43"/>
  <c r="J30" i="43"/>
  <c r="J33" i="43"/>
  <c r="E20" i="43"/>
  <c r="J28" i="43"/>
  <c r="J29" i="43"/>
  <c r="E78" i="41"/>
  <c r="H78" i="41"/>
  <c r="R109" i="41"/>
  <c r="G3" i="44" a="1"/>
  <c r="G3" i="44" s="1"/>
  <c r="I4" i="44"/>
  <c r="J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K4" i="44" l="1" a="1"/>
  <c r="K4" i="44" s="1"/>
  <c r="L16" i="43" a="1"/>
  <c r="I4" i="43"/>
  <c r="J4" i="43" s="1"/>
  <c r="L4" i="43" s="1" a="1"/>
  <c r="G3" i="43" a="1"/>
  <c r="G3" i="43" s="1"/>
  <c r="W73" i="41"/>
  <c r="P89" i="41"/>
  <c r="Q97" i="41"/>
  <c r="P98" i="41" s="1"/>
  <c r="P86" i="41"/>
  <c r="P87" i="41"/>
  <c r="P85" i="41"/>
  <c r="S85" i="41" s="1"/>
  <c r="P88" i="41"/>
  <c r="N60" i="41" a="1"/>
  <c r="T61" i="41"/>
  <c r="W61" i="41" s="1"/>
  <c r="R23" i="43" l="1"/>
  <c r="R24" i="43"/>
  <c r="O23" i="43"/>
  <c r="N24" i="43"/>
  <c r="M24" i="43"/>
  <c r="N23" i="43"/>
  <c r="O24" i="43"/>
  <c r="P24" i="43" s="1"/>
  <c r="M23" i="43"/>
  <c r="R20" i="43"/>
  <c r="R21" i="43"/>
  <c r="R22" i="43"/>
  <c r="R17" i="43"/>
  <c r="R18" i="43"/>
  <c r="R19" i="43"/>
  <c r="M22" i="43"/>
  <c r="N21" i="43"/>
  <c r="N20" i="43"/>
  <c r="O19" i="43"/>
  <c r="M20" i="43"/>
  <c r="N19" i="43"/>
  <c r="O20" i="43"/>
  <c r="N22" i="43"/>
  <c r="M21" i="43"/>
  <c r="O22" i="43"/>
  <c r="P22" i="43" s="1"/>
  <c r="M19" i="43"/>
  <c r="O21" i="43"/>
  <c r="L16" i="43"/>
  <c r="N18" i="43"/>
  <c r="N17" i="43"/>
  <c r="O18" i="43"/>
  <c r="M17" i="43"/>
  <c r="O17" i="43"/>
  <c r="M18" i="43"/>
  <c r="L4" i="43"/>
  <c r="L32" i="43" s="1" a="1"/>
  <c r="L32" i="43" s="1"/>
  <c r="O5" i="43"/>
  <c r="M5" i="43"/>
  <c r="N8" i="43"/>
  <c r="M10" i="43"/>
  <c r="M11" i="43"/>
  <c r="O6" i="43"/>
  <c r="N5" i="43"/>
  <c r="M6" i="43"/>
  <c r="M9" i="43"/>
  <c r="N9" i="43"/>
  <c r="N10" i="43"/>
  <c r="N11" i="43"/>
  <c r="N12" i="43"/>
  <c r="O7" i="43"/>
  <c r="P7" i="43" s="1"/>
  <c r="N6" i="43"/>
  <c r="M7" i="43"/>
  <c r="O9" i="43"/>
  <c r="O11" i="43"/>
  <c r="M12" i="43"/>
  <c r="O8" i="43"/>
  <c r="N7" i="43"/>
  <c r="M8" i="43"/>
  <c r="O10" i="43"/>
  <c r="O12" i="43"/>
  <c r="P12" i="43" s="1"/>
  <c r="R97" i="41"/>
  <c r="O97" i="41"/>
  <c r="Q87" i="41"/>
  <c r="R87" i="41" s="1"/>
  <c r="S87" i="41" s="1"/>
  <c r="U87" i="41" s="1"/>
  <c r="Q86" i="4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P21" i="43" l="1"/>
  <c r="P23" i="43"/>
  <c r="P11" i="43"/>
  <c r="P17" i="43"/>
  <c r="P19" i="43"/>
  <c r="P20" i="43"/>
  <c r="R16" i="43"/>
  <c r="M32" i="43" a="1"/>
  <c r="P18" i="43"/>
  <c r="P9" i="43"/>
  <c r="K16" i="43" a="1"/>
  <c r="K16" i="43" s="1"/>
  <c r="O16" i="43"/>
  <c r="N16" i="43"/>
  <c r="M16" i="43"/>
  <c r="Q17" i="43"/>
  <c r="Q18" i="43"/>
  <c r="Q23" i="43"/>
  <c r="Q24" i="43"/>
  <c r="Q19" i="43"/>
  <c r="Q22" i="43"/>
  <c r="Q20" i="43"/>
  <c r="Q21" i="43"/>
  <c r="P10" i="43"/>
  <c r="P6" i="43"/>
  <c r="P5" i="43"/>
  <c r="P8" i="43"/>
  <c r="K4" i="43" a="1"/>
  <c r="K4" i="43" s="1"/>
  <c r="O4" i="43"/>
  <c r="N4" i="43"/>
  <c r="M4" i="43"/>
  <c r="T89" i="41"/>
  <c r="T88" i="41"/>
  <c r="T86" i="41"/>
  <c r="Q100" i="41" s="1"/>
  <c r="R100" i="41" s="1"/>
  <c r="T87" i="41"/>
  <c r="P103" i="41" s="1" a="1"/>
  <c r="P105" i="41" a="1"/>
  <c r="Q104" i="41"/>
  <c r="P101" i="41" a="1"/>
  <c r="Q106" i="41"/>
  <c r="P107" i="41" a="1"/>
  <c r="Q98" i="41"/>
  <c r="P99" i="41" a="1"/>
  <c r="P99" i="41" s="1"/>
  <c r="O99" i="41" s="1"/>
  <c r="S61" i="41"/>
  <c r="N38" i="43" l="1" a="1"/>
  <c r="N38" i="43" s="1"/>
  <c r="N39" i="43" a="1"/>
  <c r="N39" i="43" s="1"/>
  <c r="N40" i="43" a="1"/>
  <c r="N40" i="43" s="1"/>
  <c r="N33" i="43" a="1"/>
  <c r="N33" i="43" s="1"/>
  <c r="N34" i="43" a="1"/>
  <c r="N34" i="43" s="1"/>
  <c r="N35" i="43" a="1"/>
  <c r="N35" i="43" s="1"/>
  <c r="N36" i="43" a="1"/>
  <c r="N36" i="43" s="1"/>
  <c r="N37" i="43" a="1"/>
  <c r="N37" i="43" s="1"/>
  <c r="M32" i="43"/>
  <c r="P16" i="43"/>
  <c r="Q16" i="43"/>
  <c r="P4" i="43"/>
  <c r="Q102" i="4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N32" i="43" l="1" a="1"/>
  <c r="N32" i="43" s="1"/>
  <c r="K32" i="43" a="1"/>
  <c r="K32" i="43" s="1"/>
  <c r="R104" i="4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<sst xmlns="http://schemas.openxmlformats.org/spreadsheetml/2006/main" count="500" uniqueCount="220">
  <si>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</si>
  <si>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</si>
  <si>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</si>
  <si>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</si>
  <si>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</si>
  <si>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</si>
  <si>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</si>
  <si>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</si>
  <si>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</si>
  <si>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</si>
  <si>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</si>
  <si>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</si>
  <si>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</si>
  <si>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</si>
  <si>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</si>
  <si>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</si>
  <si>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</si>
  <si>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</si>
  <si>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</si>
  <si>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</si>
  <si>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</si>
  <si>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</si>
  <si>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</si>
  <si>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</si>
  <si>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</si>
  <si>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</si>
  <si>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</si>
  <si>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</si>
  <si>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</si>
  <si>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</si>
  <si>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</si>
  <si>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</si>
  <si>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</si>
  <si>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</si>
  <si>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</si>
  <si>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</si>
  <si>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</si>
  <si>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</si>
  <si>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</si>
  <si>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</si>
  <si>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</si>
  <si>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</si>
  <si>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</si>
  <si>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</si>
  <si>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</si>
  <si>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</si>
  <si>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</si>
  <si>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</si>
  <si>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</si>
  <si>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</si>
  <si>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</si>
  <si>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</si>
  <si>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</si>
  <si>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</si>
  <si>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</si>
  <si>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</si>
  <si>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</si>
  <si>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</si>
  <si>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</si>
  <si>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</si>
  <si>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</si>
  <si>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</si>
  <si>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</si>
  <si>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</si>
  <si>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</si>
  <si>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</si>
  <si>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</si>
  <si>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</si>
  <si>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</si>
  <si>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</si>
  <si>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</si>
  <si>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</si>
  <si>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</si>
  <si>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</si>
  <si>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</si>
  <si>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</si>
  <si>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</si>
  <si>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</si>
  <si>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</si>
  <si>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</si>
  <si>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</si>
  <si>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</si>
  <si>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</si>
  <si>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</si>
  <si>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</si>
  <si>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</si>
  <si>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</si>
  <si>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</si>
  <si>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</si>
  <si>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</si>
  <si>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</si>
  <si>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</si>
  <si>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</si>
  <si>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</si>
  <si>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</si>
  <si>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</si>
  <si>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</si>
  <si>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</si>
  <si>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</si>
  <si>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</si>
  <si>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</si>
  <si>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</si>
  <si>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</si>
  <si>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</si>
  <si>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</si>
  <si>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</si>
  <si>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</si>
  <si>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</si>
  <si>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</si>
  <si>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</si>
  <si>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</si>
  <si>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</si>
  <si>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</si>
  <si>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</si>
  <si>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</si>
  <si>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</si>
  <si>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</si>
  <si>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</si>
  <si>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</si>
  <si>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</si>
  <si>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</si>
  <si>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</si>
  <si>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</si>
  <si>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</si>
  <si>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</si>
  <si>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</si>
  <si>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</si>
  <si>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</si>
  <si>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</si>
  <si>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</si>
  <si>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</si>
  <si>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</si>
  <si>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</si>
  <si>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</si>
  <si>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</si>
  <si>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</si>
  <si>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</si>
  <si>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</si>
  <si>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</si>
  <si>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</si>
  <si>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</si>
  <si>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</si>
  <si>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</si>
  <si>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</si>
  <si>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</si>
  <si>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</si>
  <si>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</si>
  <si>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</si>
  <si>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</si>
  <si>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</si>
  <si>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</si>
  <si>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</si>
  <si>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</si>
  <si>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</si>
  <si>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</si>
  <si>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</si>
  <si>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</si>
  <si>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</si>
  <si>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</si>
  <si>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</si>
  <si>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</si>
  <si>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</si>
  <si>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</si>
  <si>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</si>
  <si>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</si>
  <si>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</si>
  <si>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</si>
  <si>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</si>
  <si>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</si>
  <si>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</si>
  <si>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</si>
  <si>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</si>
  <si>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</si>
  <si>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</si>
  <si>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</si>
  <si>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</si>
  <si>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</si>
  <si>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</si>
  <si>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</si>
  <si>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</si>
  <si>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</si>
  <si>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</si>
  <si>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</si>
  <si>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</si>
  <si>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</si>
  <si>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</si>
  <si>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</si>
  <si>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</si>
  <si>
    <t>g_i</t>
  </si>
  <si>
    <t>g_o</t>
  </si>
  <si>
    <t>%</t>
  </si>
  <si>
    <t>g_net</t>
  </si>
  <si>
    <t>Combined</t>
  </si>
  <si>
    <t>Outer only</t>
  </si>
  <si>
    <t>% Diff</t>
  </si>
  <si>
    <t>in orbit</t>
  </si>
  <si>
    <t>out orbit</t>
  </si>
  <si>
    <t>Obsvd</t>
  </si>
  <si>
    <t>% error</t>
  </si>
  <si>
    <t>g_quad</t>
  </si>
  <si>
    <t>Ratio</t>
  </si>
  <si>
    <t>Order</t>
  </si>
  <si>
    <t>Frequency</t>
  </si>
  <si>
    <t>Resonant</t>
  </si>
  <si>
    <t>Trap</t>
  </si>
  <si>
    <t>Perturbant</t>
  </si>
  <si>
    <t xml:space="preserve"> — </t>
  </si>
  <si>
    <t>Resonance 10</t>
  </si>
  <si>
    <t>8:3</t>
  </si>
  <si>
    <t>7:2</t>
  </si>
  <si>
    <t>Resonance 11</t>
  </si>
  <si>
    <t>Comb</t>
  </si>
  <si>
    <t>M1</t>
  </si>
  <si>
    <t>♃ Obsvd</t>
  </si>
  <si>
    <t>9:4</t>
  </si>
  <si>
    <t>Resonance 12</t>
  </si>
  <si>
    <t>% Err</t>
  </si>
  <si>
    <t>Type</t>
  </si>
  <si>
    <t>Res's</t>
  </si>
  <si>
    <t>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</si>
</sst>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"/>
    <numFmt numFmtId="166" formatCode="0.000"/>
    <numFmt numFmtId="167" formatCode="0.0000000"/>
    <numFmt numFmtId="168" formatCode="0.000000"/>
  </numFmts>
  <fonts count="8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  <xf numFmtId="168" fontId="3" fillId="2" borderId="1" xfId="0" applyNumberFormat="1" applyFont="1" applyFill="1" applyBorder="1"/>
    <xf numFmtId="0" fontId="7" fillId="4" borderId="1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1" xfId="0" applyFont="1" applyFill="1" applyBorder="1"/>
    <xf numFmtId="0" fontId="7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2" fontId="7" fillId="4" borderId="3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2" fontId="7" fillId="4" borderId="9" xfId="0" applyNumberFormat="1" applyFont="1" applyFill="1" applyBorder="1"/>
    <xf numFmtId="166" fontId="7" fillId="4" borderId="3" xfId="0" applyNumberFormat="1" applyFont="1" applyFill="1" applyBorder="1"/>
    <xf numFmtId="166" fontId="7" fillId="4" borderId="9" xfId="0" applyNumberFormat="1" applyFont="1" applyFill="1" applyBorder="1"/>
    <xf numFmtId="2" fontId="3" fillId="2" borderId="1" xfId="0" applyNumberFormat="1" applyFont="1" applyFill="1" applyBorder="1"/>
    <xf numFmtId="2" fontId="4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0.0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E1967-56B3-B048-ADA6-204D03E8AD08}" name="Table2" displayName="Table2" ref="B2:F12" totalsRowShown="0" headerRowDxfId="8" dataDxfId="7" headerRowBorderDxfId="18" tableBorderDxfId="19" totalsRowBorderDxfId="17">
  <autoFilter ref="B2:F12" xr:uid="{D3CE1967-56B3-B048-ADA6-204D03E8AD08}"/>
  <sortState xmlns:xlrd2="http://schemas.microsoft.com/office/spreadsheetml/2017/richdata2" ref="B3:F12">
    <sortCondition ref="F2:F12"/>
  </sortState>
  <tableColumns count="5">
    <tableColumn id="1" xr3:uid="{40AEF6A4-AC85-C045-B386-674CE58B3BBE}" name="Perturbant" dataDxfId="13"/>
    <tableColumn id="2" xr3:uid="{06F39045-67AC-2E4B-ABE5-1607FD7CC247}" name="Resonant" dataDxfId="12"/>
    <tableColumn id="3" xr3:uid="{4A4C755E-2E5F-2342-982A-F9967FFE6FD0}" name="Ratio" dataDxfId="11">
      <calculatedColumnFormula>_xlfn.TEXTJOIN(":",TRUE,B3,C3)</calculatedColumnFormula>
    </tableColumn>
    <tableColumn id="4" xr3:uid="{4DEF54A9-23D5-C541-A16F-D677E0481B74}" name="Order" dataDxfId="10">
      <calculatedColumnFormula>B3-C3</calculatedColumnFormula>
    </tableColumn>
    <tableColumn id="5" xr3:uid="{AAC93172-786A-0045-8FFE-25082C7A9B88}" name="Frequency" dataDxfId="9">
      <calculatedColumnFormula>B3/C3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0B6C4-2004-9D44-B5B1-5B192C3014D7}" name="Table23" displayName="Table23" ref="B16:F28" totalsRowShown="0" headerRowDxfId="1" dataDxfId="0" headerRowBorderDxfId="15" tableBorderDxfId="16" totalsRowBorderDxfId="14">
  <autoFilter ref="B16:F28" xr:uid="{0870B6C4-2004-9D44-B5B1-5B192C3014D7}"/>
  <sortState xmlns:xlrd2="http://schemas.microsoft.com/office/spreadsheetml/2017/richdata2" ref="B17:F28">
    <sortCondition ref="F2:F12"/>
  </sortState>
  <tableColumns count="5">
    <tableColumn id="1" xr3:uid="{D098F008-5B6E-BA41-B044-EBD4CCFDEF2F}" name="Perturbant" dataDxfId="6"/>
    <tableColumn id="2" xr3:uid="{60836443-4F83-9449-8A98-FF76C556C35B}" name="Resonant" dataDxfId="5"/>
    <tableColumn id="3" xr3:uid="{3A8953C6-26EB-FC4F-8660-EED94788E8A8}" name="Ratio" dataDxfId="4">
      <calculatedColumnFormula>_xlfn.TEXTJOIN(":",TRUE,B17,C17)</calculatedColumnFormula>
    </tableColumn>
    <tableColumn id="4" xr3:uid="{04C40BBB-7D99-B342-AFB3-689B13D0D8BD}" name="Order" dataDxfId="3">
      <calculatedColumnFormula>B17-C17</calculatedColumnFormula>
    </tableColumn>
    <tableColumn id="5" xr3:uid="{2CCA3932-F1E1-8C49-A513-26A232072E18}" name="Frequency" dataDxfId="2">
      <calculatedColumnFormula>B17/C17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I38" zoomScale="120" zoomScaleNormal="120" workbookViewId="0">
      <selection activeCell="V85" sqref="V8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P85*SQRT($O$80/C59)</f>
        <v>2.9889996200842318E-3</v>
      </c>
      <c r="R85" s="20">
        <f>Q85*SQRT($O$82/333000)</f>
        <v>3.6625937101979391E-5</v>
      </c>
      <c r="S85" s="8">
        <f>AVERAGE(Q85:R85)</f>
        <v>1.5128127785931057E-3</v>
      </c>
      <c r="T85" s="12">
        <f>P85-(S85/2)</f>
        <v>0.83752131308753741</v>
      </c>
      <c r="U85" s="12">
        <f>P85+(S85/2)</f>
        <v>0.83903412586613046</v>
      </c>
      <c r="V85" s="12" cm="1">
        <f t="array" ref="V85">STATS_PCT_CHG(Q85,S85)</f>
        <v>-0.49399999999999999</v>
      </c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>Q86*SQRT($O$82/C59)</f>
        <v>4.3385014946798233E-5</v>
      </c>
      <c r="S86" s="8">
        <f t="shared" ref="S86:S89" si="16">AVERAGE(Q86:R86)</f>
        <v>1.9455452161929534E-3</v>
      </c>
      <c r="T86" s="12">
        <f t="shared" ref="T86:T89" si="17">P86-(S86/2)</f>
        <v>0.99200363336910091</v>
      </c>
      <c r="U86" s="12">
        <f t="shared" ref="U86:U89" si="18">P86+(S86/2)</f>
        <v>0.99394917858529386</v>
      </c>
      <c r="V86" s="12" cm="1">
        <f t="array" ref="V86">STATS_PCT_CHG(Q86,S86)</f>
        <v>-0.49399999999999999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ref="R87:R89" si="19">Q87*SQRT($O$82/333000)</f>
        <v>5.9864444859771546E-5</v>
      </c>
      <c r="S87" s="8">
        <f t="shared" si="16"/>
        <v>2.472665666275891E-3</v>
      </c>
      <c r="T87" s="12">
        <f t="shared" si="17"/>
        <v>1.2595549246456548</v>
      </c>
      <c r="U87" s="12">
        <f t="shared" si="18"/>
        <v>1.2620275903119307</v>
      </c>
      <c r="V87" s="12" cm="1">
        <f t="array" ref="V87">STATS_PCT_CHG(Q87,S87)</f>
        <v>-0.49399999999999999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9"/>
        <v>7.1063633840637793E-5</v>
      </c>
      <c r="S88" s="8">
        <f t="shared" si="16"/>
        <v>2.9352415767013459E-3</v>
      </c>
      <c r="T88" s="12">
        <f t="shared" si="17"/>
        <v>1.4951871712309155</v>
      </c>
      <c r="U88" s="12">
        <f t="shared" si="18"/>
        <v>1.4981224128076167</v>
      </c>
      <c r="V88" s="12" cm="1">
        <f t="array" ref="V88">STATS_PCT_CHG(Q88,S88)</f>
        <v>-0.49399999999999999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9"/>
        <v>9.3113872812824593E-5</v>
      </c>
      <c r="S89" s="8">
        <f t="shared" si="16"/>
        <v>3.8460137214597423E-3</v>
      </c>
      <c r="T89" s="12">
        <f t="shared" si="17"/>
        <v>1.9591267793253189</v>
      </c>
      <c r="U89" s="12">
        <f t="shared" si="18"/>
        <v>1.9629727930467786</v>
      </c>
      <c r="V89" s="12" cm="1">
        <f t="array" ref="V89">STATS_PCT_CHG(Q89,S89)</f>
        <v>-0.49399999999999999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0.93073366292320381</v>
      </c>
      <c r="P98" s="12">
        <f>Q97</f>
        <v>1.0239460127588702</v>
      </c>
      <c r="Q98" s="12">
        <f>T85</f>
        <v>0.83752131308753741</v>
      </c>
      <c r="R98" s="12">
        <f t="shared" ref="R98:R109" si="21">Q98-P98</f>
        <v>-0.18642469967133279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0.83752131308753741</v>
      </c>
      <c r="Q99" s="12">
        <v>0.83903412586613046</v>
      </c>
      <c r="R99" s="12">
        <f t="shared" si="21"/>
        <v>1.5128127785930534E-3</v>
      </c>
    </row>
    <row r="100" spans="14:18">
      <c r="N100" s="8" t="s">
        <v>146</v>
      </c>
      <c r="O100" s="21">
        <f t="shared" si="20"/>
        <v>0.91551887961761569</v>
      </c>
      <c r="P100" s="12">
        <f>U85</f>
        <v>0.83903412586613046</v>
      </c>
      <c r="Q100" s="12">
        <f>T86</f>
        <v>0.99200363336910091</v>
      </c>
      <c r="R100" s="12">
        <f t="shared" si="21"/>
        <v>0.15296950750297045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0.99200363336910091</v>
      </c>
      <c r="Q101" s="12">
        <v>0.99394917858529386</v>
      </c>
      <c r="R101" s="12">
        <f t="shared" si="21"/>
        <v>1.9455452161929454E-3</v>
      </c>
    </row>
    <row r="102" spans="14:18">
      <c r="N102" s="8" t="s">
        <v>148</v>
      </c>
      <c r="O102" s="21">
        <f t="shared" si="20"/>
        <v>1.1267520516154743</v>
      </c>
      <c r="P102" s="12">
        <f>Q101</f>
        <v>0.99394917858529386</v>
      </c>
      <c r="Q102" s="12">
        <f>T87</f>
        <v>1.2595549246456548</v>
      </c>
      <c r="R102" s="12">
        <f t="shared" si="21"/>
        <v>0.26560574606036091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85A45-0DAE-5D41-B7C2-3109FBAC03D6}">
  <dimension ref="A2:H28"/>
  <sheetViews>
    <sheetView tabSelected="1" topLeftCell="B1" zoomScale="160" zoomScaleNormal="160" workbookViewId="0">
      <selection activeCell="O3" sqref="O3:P14"/>
    </sheetView>
  </sheetViews>
  <sheetFormatPr baseColWidth="10" defaultRowHeight="16"/>
  <cols>
    <col min="1" max="1" width="10.83203125" style="31"/>
    <col min="2" max="3" width="11.33203125" style="31" bestFit="1" customWidth="1"/>
    <col min="4" max="4" width="8" style="31" bestFit="1" customWidth="1"/>
    <col min="5" max="5" width="8.33203125" style="31" bestFit="1" customWidth="1"/>
    <col min="6" max="6" width="12.1640625" style="31" bestFit="1" customWidth="1"/>
    <col min="7" max="16384" width="10.83203125" style="31"/>
  </cols>
  <sheetData>
    <row r="2" spans="1:8">
      <c r="A2" s="27" t="s">
        <v>82</v>
      </c>
      <c r="B2" s="28" t="s">
        <v>205</v>
      </c>
      <c r="C2" s="29" t="s">
        <v>203</v>
      </c>
      <c r="D2" s="29" t="s">
        <v>200</v>
      </c>
      <c r="E2" s="29" t="s">
        <v>201</v>
      </c>
      <c r="F2" s="30" t="s">
        <v>202</v>
      </c>
    </row>
    <row r="3" spans="1:8">
      <c r="B3" s="32">
        <v>5</v>
      </c>
      <c r="C3" s="33">
        <v>3</v>
      </c>
      <c r="D3" s="33" t="str">
        <f>_xlfn.TEXTJOIN(":",TRUE,B3,C3)</f>
        <v>5:3</v>
      </c>
      <c r="E3" s="33">
        <f>B3-C3</f>
        <v>2</v>
      </c>
      <c r="F3" s="34">
        <f>B3/C3</f>
        <v>1.6666666666666667</v>
      </c>
      <c r="H3" s="31" t="str" cm="1">
        <f t="array" ref="H3">FORMAT_AS_LIST(Table2[Frequency])</f>
        <v>{1.66666666666667, 2, 2.25, 2.33333333333333, 2.5, 2.66666666666667, 3, 3.5, 4, 5}</v>
      </c>
    </row>
    <row r="4" spans="1:8">
      <c r="B4" s="32">
        <v>2</v>
      </c>
      <c r="C4" s="33">
        <v>1</v>
      </c>
      <c r="D4" s="33" t="str">
        <f>_xlfn.TEXTJOIN(":",TRUE,B4,C4)</f>
        <v>2:1</v>
      </c>
      <c r="E4" s="33">
        <f>B4-C4</f>
        <v>1</v>
      </c>
      <c r="F4" s="34">
        <f>B4/C4</f>
        <v>2</v>
      </c>
    </row>
    <row r="5" spans="1:8">
      <c r="B5" s="32">
        <v>9</v>
      </c>
      <c r="C5" s="33">
        <v>4</v>
      </c>
      <c r="D5" s="33" t="str">
        <f>_xlfn.TEXTJOIN(":",TRUE,B5,C5)</f>
        <v>9:4</v>
      </c>
      <c r="E5" s="33">
        <f>B5-C5</f>
        <v>5</v>
      </c>
      <c r="F5" s="34">
        <f>B5/C5</f>
        <v>2.25</v>
      </c>
    </row>
    <row r="6" spans="1:8">
      <c r="B6" s="32">
        <v>7</v>
      </c>
      <c r="C6" s="33">
        <v>3</v>
      </c>
      <c r="D6" s="33" t="str">
        <f>_xlfn.TEXTJOIN(":",TRUE,B6,C6)</f>
        <v>7:3</v>
      </c>
      <c r="E6" s="33">
        <f>B6-C6</f>
        <v>4</v>
      </c>
      <c r="F6" s="34">
        <f>B6/C6</f>
        <v>2.3333333333333335</v>
      </c>
    </row>
    <row r="7" spans="1:8">
      <c r="B7" s="32">
        <v>5</v>
      </c>
      <c r="C7" s="33">
        <v>2</v>
      </c>
      <c r="D7" s="33" t="str">
        <f>_xlfn.TEXTJOIN(":",TRUE,B7,C7)</f>
        <v>5:2</v>
      </c>
      <c r="E7" s="33">
        <f>B7-C7</f>
        <v>3</v>
      </c>
      <c r="F7" s="34">
        <f>B7/C7</f>
        <v>2.5</v>
      </c>
    </row>
    <row r="8" spans="1:8">
      <c r="B8" s="32">
        <v>8</v>
      </c>
      <c r="C8" s="33">
        <v>3</v>
      </c>
      <c r="D8" s="33" t="str">
        <f>_xlfn.TEXTJOIN(":",TRUE,B8,C8)</f>
        <v>8:3</v>
      </c>
      <c r="E8" s="33">
        <f>B8-C8</f>
        <v>5</v>
      </c>
      <c r="F8" s="34">
        <f>B8/C8</f>
        <v>2.6666666666666665</v>
      </c>
    </row>
    <row r="9" spans="1:8">
      <c r="B9" s="32">
        <v>3</v>
      </c>
      <c r="C9" s="33">
        <v>1</v>
      </c>
      <c r="D9" s="33" t="str">
        <f>_xlfn.TEXTJOIN(":",TRUE,B9,C9)</f>
        <v>3:1</v>
      </c>
      <c r="E9" s="33">
        <f>B9-C9</f>
        <v>2</v>
      </c>
      <c r="F9" s="34">
        <f>B9/C9</f>
        <v>3</v>
      </c>
    </row>
    <row r="10" spans="1:8">
      <c r="B10" s="32">
        <v>7</v>
      </c>
      <c r="C10" s="33">
        <v>2</v>
      </c>
      <c r="D10" s="33" t="str">
        <f>_xlfn.TEXTJOIN(":",TRUE,B10,C10)</f>
        <v>7:2</v>
      </c>
      <c r="E10" s="33">
        <f>B10-C10</f>
        <v>5</v>
      </c>
      <c r="F10" s="34">
        <f>B10/C10</f>
        <v>3.5</v>
      </c>
    </row>
    <row r="11" spans="1:8">
      <c r="B11" s="32">
        <v>4</v>
      </c>
      <c r="C11" s="33">
        <v>1</v>
      </c>
      <c r="D11" s="33" t="str">
        <f>_xlfn.TEXTJOIN(":",TRUE,B11,C11)</f>
        <v>4:1</v>
      </c>
      <c r="E11" s="33">
        <f>B11-C11</f>
        <v>3</v>
      </c>
      <c r="F11" s="34">
        <f>B11/C11</f>
        <v>4</v>
      </c>
    </row>
    <row r="12" spans="1:8">
      <c r="B12" s="35">
        <v>5</v>
      </c>
      <c r="C12" s="36">
        <v>1</v>
      </c>
      <c r="D12" s="36" t="str">
        <f>_xlfn.TEXTJOIN(":",TRUE,B12,C12)</f>
        <v>5:1</v>
      </c>
      <c r="E12" s="36">
        <f>B12-C12</f>
        <v>4</v>
      </c>
      <c r="F12" s="37">
        <f>B12/C12</f>
        <v>5</v>
      </c>
    </row>
    <row r="16" spans="1:8">
      <c r="A16" s="27" t="s">
        <v>204</v>
      </c>
      <c r="B16" s="28" t="s">
        <v>205</v>
      </c>
      <c r="C16" s="29" t="s">
        <v>203</v>
      </c>
      <c r="D16" s="29" t="s">
        <v>200</v>
      </c>
      <c r="E16" s="29" t="s">
        <v>201</v>
      </c>
      <c r="F16" s="30" t="s">
        <v>202</v>
      </c>
    </row>
    <row r="17" spans="2:8">
      <c r="B17" s="32">
        <v>4</v>
      </c>
      <c r="C17" s="33">
        <v>3</v>
      </c>
      <c r="D17" s="33" t="str">
        <f>_xlfn.TEXTJOIN(":",TRUE,B17,C17)</f>
        <v>4:3</v>
      </c>
      <c r="E17" s="33">
        <f>B17-C17</f>
        <v>1</v>
      </c>
      <c r="F17" s="34">
        <f>B17/C17</f>
        <v>1.3333333333333333</v>
      </c>
      <c r="H17" s="31" t="str" cm="1">
        <f t="array" ref="H17">FORMAT_AS_LIST(F17:F21)</f>
        <v>{1.33333333333333, 1.5, 1.25, 1.2, 1.16666666666667}</v>
      </c>
    </row>
    <row r="18" spans="2:8">
      <c r="B18" s="32">
        <v>3</v>
      </c>
      <c r="C18" s="33">
        <v>2</v>
      </c>
      <c r="D18" s="33" t="str">
        <f>_xlfn.TEXTJOIN(":",TRUE,B18,C18)</f>
        <v>3:2</v>
      </c>
      <c r="E18" s="33">
        <f>B18-C18</f>
        <v>1</v>
      </c>
      <c r="F18" s="34">
        <f>B18/C18</f>
        <v>1.5</v>
      </c>
    </row>
    <row r="19" spans="2:8">
      <c r="B19" s="32">
        <v>5</v>
      </c>
      <c r="C19" s="33">
        <v>4</v>
      </c>
      <c r="D19" s="33" t="str">
        <f>_xlfn.TEXTJOIN(":",TRUE,B19,C19)</f>
        <v>5:4</v>
      </c>
      <c r="E19" s="33">
        <f>B19-C19</f>
        <v>1</v>
      </c>
      <c r="F19" s="34">
        <f>B19/C19</f>
        <v>1.25</v>
      </c>
    </row>
    <row r="20" spans="2:8">
      <c r="B20" s="32">
        <v>6</v>
      </c>
      <c r="C20" s="33">
        <v>5</v>
      </c>
      <c r="D20" s="33" t="str">
        <f>_xlfn.TEXTJOIN(":",TRUE,B20,C20)</f>
        <v>6:5</v>
      </c>
      <c r="E20" s="33">
        <f>B20-C20</f>
        <v>1</v>
      </c>
      <c r="F20" s="34">
        <f>B20/C20</f>
        <v>1.2</v>
      </c>
    </row>
    <row r="21" spans="2:8">
      <c r="B21" s="32">
        <v>7</v>
      </c>
      <c r="C21" s="33">
        <v>6</v>
      </c>
      <c r="D21" s="33" t="str">
        <f>_xlfn.TEXTJOIN(":",TRUE,B21,C21)</f>
        <v>7:6</v>
      </c>
      <c r="E21" s="33">
        <f>B21-C21</f>
        <v>1</v>
      </c>
      <c r="F21" s="34">
        <f>B21/C21</f>
        <v>1.1666666666666667</v>
      </c>
    </row>
    <row r="22" spans="2:8">
      <c r="B22" s="32"/>
      <c r="C22" s="33"/>
      <c r="D22" s="33"/>
      <c r="E22" s="33"/>
      <c r="F22" s="38"/>
    </row>
    <row r="23" spans="2:8">
      <c r="B23" s="32"/>
      <c r="C23" s="33"/>
      <c r="D23" s="33"/>
      <c r="E23" s="33"/>
      <c r="F23" s="38"/>
    </row>
    <row r="24" spans="2:8">
      <c r="B24" s="32"/>
      <c r="C24" s="33"/>
      <c r="D24" s="33"/>
      <c r="E24" s="33"/>
      <c r="F24" s="38"/>
    </row>
    <row r="25" spans="2:8">
      <c r="B25" s="32"/>
      <c r="C25" s="33"/>
      <c r="D25" s="33"/>
      <c r="E25" s="33"/>
      <c r="F25" s="38"/>
    </row>
    <row r="26" spans="2:8">
      <c r="B26" s="32"/>
      <c r="C26" s="33"/>
      <c r="D26" s="33"/>
      <c r="E26" s="33"/>
      <c r="F26" s="38"/>
    </row>
    <row r="27" spans="2:8">
      <c r="B27" s="32"/>
      <c r="C27" s="33"/>
      <c r="D27" s="33"/>
      <c r="E27" s="33"/>
      <c r="F27" s="38"/>
    </row>
    <row r="28" spans="2:8">
      <c r="B28" s="35"/>
      <c r="C28" s="36"/>
      <c r="D28" s="36"/>
      <c r="E28" s="36"/>
      <c r="F28" s="39"/>
    </row>
  </sheetData>
  <sortState xmlns:xlrd2="http://schemas.microsoft.com/office/spreadsheetml/2017/richdata2" ref="O3:P14">
    <sortCondition ref="P3:P14"/>
  </sortState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T40"/>
  <sheetViews>
    <sheetView topLeftCell="F1" zoomScale="130" zoomScaleNormal="130" workbookViewId="0">
      <selection activeCell="O31" sqref="O31:S40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1" width="12.6640625" style="8" bestFit="1" customWidth="1"/>
    <col min="12" max="12" width="15.33203125" style="8" customWidth="1"/>
    <col min="13" max="13" width="15.33203125" style="8" bestFit="1" customWidth="1"/>
    <col min="14" max="14" width="10.83203125" style="8" customWidth="1"/>
    <col min="15" max="15" width="8.83203125" style="8" bestFit="1" customWidth="1"/>
    <col min="16" max="18" width="0" style="8" hidden="1" customWidth="1"/>
    <col min="19" max="20" width="11.5" style="8" bestFit="1" customWidth="1"/>
    <col min="21" max="16384" width="10.83203125" style="8"/>
  </cols>
  <sheetData>
    <row r="2" spans="2:20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20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  <c r="L3" s="8" t="s">
        <v>84</v>
      </c>
      <c r="M3" s="8" t="s">
        <v>188</v>
      </c>
      <c r="N3" s="8" t="s">
        <v>189</v>
      </c>
      <c r="O3" s="8" t="s">
        <v>191</v>
      </c>
      <c r="P3" s="8" t="s">
        <v>190</v>
      </c>
    </row>
    <row r="4" spans="2:20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  <c r="M4" s="12">
        <f>L4*SQRT($C$4/$C$2*$C$3)</f>
        <v>1.0275979549490279E-3</v>
      </c>
      <c r="N4" s="12">
        <f>L4*SQRT($C$5/$C$2*$C$3)</f>
        <v>5.600261272438959E-2</v>
      </c>
      <c r="O4" s="12">
        <f>L4*SQRT(($C$4+$C$5)/$C$2*$C$3)</f>
        <v>5.6012039683580338E-2</v>
      </c>
      <c r="P4" s="12">
        <f>O4/N4</f>
        <v>1.0001683307033753</v>
      </c>
    </row>
    <row r="5" spans="2:20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  <c r="M5" s="12">
        <f t="shared" ref="M5:M12" si="0">L5*SQRT($C$4/$C$2*$C$3)</f>
        <v>1.1513372186961975E-3</v>
      </c>
      <c r="N5" s="12">
        <f t="shared" ref="N5:N12" si="1">L5*SQRT($C$5/$C$2*$C$3)</f>
        <v>6.2746224886188376E-2</v>
      </c>
      <c r="O5" s="12">
        <f t="shared" ref="O5:O12" si="2">L5*SQRT(($C$4+$C$5)/$C$2*$C$3)</f>
        <v>6.2756787002357609E-2</v>
      </c>
      <c r="P5" s="12">
        <f t="shared" ref="P5:P12" si="3">O5/N5</f>
        <v>1.0001683307033753</v>
      </c>
    </row>
    <row r="6" spans="2:20">
      <c r="B6" s="24" t="s">
        <v>195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  <c r="M6" s="12">
        <f t="shared" si="0"/>
        <v>1.2929340699393437E-3</v>
      </c>
      <c r="N6" s="12">
        <f t="shared" si="1"/>
        <v>7.0463049919726198E-2</v>
      </c>
      <c r="O6" s="12">
        <f t="shared" si="2"/>
        <v>7.0474911014481154E-2</v>
      </c>
      <c r="P6" s="12">
        <f t="shared" si="3"/>
        <v>1.0001683307033753</v>
      </c>
    </row>
    <row r="7" spans="2:20">
      <c r="B7" s="24" t="s">
        <v>196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  <c r="M7" s="12">
        <f t="shared" si="0"/>
        <v>1.4689573960248493E-3</v>
      </c>
      <c r="N7" s="12">
        <f t="shared" si="1"/>
        <v>8.0056068389400437E-2</v>
      </c>
      <c r="O7" s="12">
        <f t="shared" si="2"/>
        <v>8.0069544283701888E-2</v>
      </c>
      <c r="P7" s="12">
        <f t="shared" si="3"/>
        <v>1.0001683307033753</v>
      </c>
    </row>
    <row r="8" spans="2:20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  <c r="M8" s="12">
        <f t="shared" si="0"/>
        <v>1.5963683215572881E-3</v>
      </c>
      <c r="N8" s="12">
        <f t="shared" si="1"/>
        <v>8.6999780845312388E-2</v>
      </c>
      <c r="O8" s="12">
        <f t="shared" si="2"/>
        <v>8.701442557961557E-2</v>
      </c>
      <c r="P8" s="12">
        <f t="shared" si="3"/>
        <v>1.0001683307033753</v>
      </c>
    </row>
    <row r="9" spans="2:20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  <c r="M9" s="12">
        <f t="shared" si="0"/>
        <v>1.7368894602714912E-3</v>
      </c>
      <c r="N9" s="12">
        <f t="shared" si="1"/>
        <v>9.4657981090944546E-2</v>
      </c>
      <c r="O9" s="12">
        <f t="shared" si="2"/>
        <v>9.4673914935481662E-2</v>
      </c>
      <c r="P9" s="12">
        <f t="shared" si="3"/>
        <v>1.0001683307033753</v>
      </c>
    </row>
    <row r="10" spans="2:20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  <c r="M10" s="12">
        <f t="shared" si="0"/>
        <v>1.9782672902901228E-3</v>
      </c>
      <c r="N10" s="12">
        <f t="shared" si="1"/>
        <v>0.10781272616384369</v>
      </c>
      <c r="O10" s="12">
        <f t="shared" si="2"/>
        <v>0.10783087435587164</v>
      </c>
      <c r="P10" s="12">
        <f t="shared" si="3"/>
        <v>1.0001683307033753</v>
      </c>
    </row>
    <row r="11" spans="2:20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  <c r="M11" s="12">
        <f t="shared" si="0"/>
        <v>2.2140208119246895E-3</v>
      </c>
      <c r="N11" s="12">
        <f t="shared" si="1"/>
        <v>0.12066095450735624</v>
      </c>
      <c r="O11" s="12">
        <f t="shared" si="2"/>
        <v>0.12068126545069839</v>
      </c>
      <c r="P11" s="12">
        <f t="shared" si="3"/>
        <v>1.0001683307033753</v>
      </c>
    </row>
    <row r="12" spans="2:20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  <c r="M12" s="12">
        <f t="shared" si="0"/>
        <v>2.4807507685551278E-3</v>
      </c>
      <c r="N12" s="12">
        <f t="shared" si="1"/>
        <v>0.13519735407026567</v>
      </c>
      <c r="O12" s="12">
        <f t="shared" si="2"/>
        <v>0.1352201119359708</v>
      </c>
      <c r="P12" s="12">
        <f t="shared" si="3"/>
        <v>1.0001683307033753</v>
      </c>
    </row>
    <row r="13" spans="2:20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20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20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  <c r="L15" s="8" t="s">
        <v>84</v>
      </c>
      <c r="M15" s="8" t="s">
        <v>188</v>
      </c>
      <c r="N15" s="8" t="s">
        <v>189</v>
      </c>
      <c r="O15" s="8" t="s">
        <v>191</v>
      </c>
      <c r="P15" s="8" t="s">
        <v>190</v>
      </c>
      <c r="S15" s="8" t="s">
        <v>199</v>
      </c>
      <c r="T15" s="8" t="s">
        <v>198</v>
      </c>
    </row>
    <row r="16" spans="2:20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  <c r="K16" s="8" t="str" cm="1">
        <f t="array" ref="K16:K24">"Gap "&amp;_xlfn.SEQUENCE(COUNTA(_xlfn.ANCHORARRAY(L16)))</f>
        <v>Gap 1</v>
      </c>
      <c r="L16" s="14" cm="1">
        <f t="array" ref="L16:L24">_xlfn._xlws.FILTER(I27:I35,J27:J35=TRUE,"")</f>
        <v>1.7797429653011063</v>
      </c>
      <c r="M16" s="12">
        <f>L16*SQRT($C$4/$C$2*$C$3)</f>
        <v>1.0088510656720616E-3</v>
      </c>
      <c r="N16" s="12">
        <f>L16*SQRT($C$5/$C$2*$C$3)</f>
        <v>5.4980934182788134E-2</v>
      </c>
      <c r="O16" s="12">
        <f>L16*SQRT(($C$4+$C$5)/$C$2*$C$3)</f>
        <v>5.4990189162111347E-2</v>
      </c>
      <c r="P16" s="12">
        <f>O16/N16</f>
        <v>1.0001683307033751</v>
      </c>
      <c r="Q16" s="8">
        <f>N4/N16</f>
        <v>1.0185824151005658</v>
      </c>
      <c r="R16" s="8">
        <f>ABS(L16-L4)/AVERAGE(L16+L4)</f>
        <v>9.2056757066518446E-3</v>
      </c>
      <c r="S16" s="12">
        <f>SQRT(M16^2+N16^2)</f>
        <v>5.4990189162111347E-2</v>
      </c>
      <c r="T16" s="26" t="str" cm="1">
        <f t="array" ref="T16">STATS_PCT_ERR(O16,S16,1,5)</f>
        <v>0.00000%</v>
      </c>
    </row>
    <row r="17" spans="2:20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  <c r="K17" s="8" t="str">
        <v>Gap 2</v>
      </c>
      <c r="L17" s="14">
        <v>2.0652087686106273</v>
      </c>
      <c r="M17" s="12">
        <f t="shared" ref="M17:M24" si="4">L17*SQRT($C$4/$C$2*$C$3)</f>
        <v>1.1706679603004481E-3</v>
      </c>
      <c r="N17" s="12">
        <f t="shared" ref="N17:N24" si="5">L17*SQRT($C$5/$C$2*$C$3)</f>
        <v>6.3799722541107121E-2</v>
      </c>
      <c r="O17" s="12">
        <f t="shared" ref="O17:O24" si="6">L17*SQRT(($C$4+$C$5)/$C$2*$C$3)</f>
        <v>6.3810461993277612E-2</v>
      </c>
      <c r="P17" s="12">
        <f t="shared" ref="P17:P24" si="7">O17/N17</f>
        <v>1.0001683307033753</v>
      </c>
      <c r="Q17" s="8">
        <f t="shared" ref="Q17:Q24" si="8">N5/N17</f>
        <v>0.9834874257605124</v>
      </c>
      <c r="R17" s="8">
        <f t="shared" ref="R17:R24" si="9">ABS(L17-L5)/AVERAGE(L17+L5)</f>
        <v>8.3250208824269742E-3</v>
      </c>
      <c r="S17" s="12">
        <f t="shared" ref="S17:S24" si="10">SQRT(M17^2+N17^2)</f>
        <v>6.3810461993277612E-2</v>
      </c>
      <c r="T17" s="26" t="str" cm="1">
        <f t="array" ref="T17">STATS_PCT_ERR(O17,S17,1,5)</f>
        <v>0.00000%</v>
      </c>
    </row>
    <row r="18" spans="2:20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  <c r="K18" s="8" t="str">
        <v>Gap 3</v>
      </c>
      <c r="L18" s="14">
        <v>2.501822254626584</v>
      </c>
      <c r="M18" s="12">
        <f t="shared" si="4"/>
        <v>1.4181632386871612E-3</v>
      </c>
      <c r="N18" s="12">
        <f t="shared" si="5"/>
        <v>7.7287859764281722E-2</v>
      </c>
      <c r="O18" s="12">
        <f t="shared" si="6"/>
        <v>7.7300869684078219E-2</v>
      </c>
      <c r="P18" s="12">
        <f t="shared" si="7"/>
        <v>1.0001683307033753</v>
      </c>
      <c r="Q18" s="8">
        <f t="shared" si="8"/>
        <v>0.91169622414994622</v>
      </c>
      <c r="R18" s="8">
        <f t="shared" si="9"/>
        <v>4.619132199694486E-2</v>
      </c>
      <c r="S18" s="12">
        <f t="shared" si="10"/>
        <v>7.7300869684078205E-2</v>
      </c>
      <c r="T18" s="26" t="str" cm="1">
        <f t="array" ref="T18">STATS_PCT_ERR(O18,S18,1,5)</f>
        <v>0.00000%</v>
      </c>
    </row>
    <row r="19" spans="2:20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  <c r="K19" s="8" t="str">
        <v>Gap 4</v>
      </c>
      <c r="L19" s="14">
        <v>2.8251658553519787</v>
      </c>
      <c r="M19" s="12">
        <f t="shared" si="4"/>
        <v>1.6014512429270696E-3</v>
      </c>
      <c r="N19" s="12">
        <f t="shared" si="5"/>
        <v>8.7276792759952218E-2</v>
      </c>
      <c r="O19" s="12">
        <f t="shared" si="6"/>
        <v>8.7291484123865823E-2</v>
      </c>
      <c r="P19" s="12">
        <f t="shared" si="7"/>
        <v>1.0001683307033751</v>
      </c>
      <c r="Q19" s="8">
        <f t="shared" si="8"/>
        <v>0.91726638729253263</v>
      </c>
      <c r="R19" s="8">
        <f t="shared" si="9"/>
        <v>4.3151861032884188E-2</v>
      </c>
      <c r="S19" s="12">
        <f t="shared" si="10"/>
        <v>8.7291484123865837E-2</v>
      </c>
      <c r="T19" s="26" t="str" cm="1">
        <f t="array" ref="T19">STATS_PCT_ERR(O19,S19,1,5)</f>
        <v>0.00000%</v>
      </c>
    </row>
    <row r="20" spans="2:20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  <c r="K20" s="8" t="str">
        <v>Gap 5</v>
      </c>
      <c r="L20" s="14">
        <v>2.9581448156989745</v>
      </c>
      <c r="M20" s="12">
        <f t="shared" si="4"/>
        <v>1.6768306479724112E-3</v>
      </c>
      <c r="N20" s="12">
        <f t="shared" si="5"/>
        <v>9.1384862076184514E-2</v>
      </c>
      <c r="O20" s="12">
        <f t="shared" si="6"/>
        <v>9.1400244954295648E-2</v>
      </c>
      <c r="P20" s="12">
        <f t="shared" si="7"/>
        <v>1.0001683307033753</v>
      </c>
      <c r="Q20" s="8">
        <f t="shared" si="8"/>
        <v>0.95201523391022436</v>
      </c>
      <c r="R20" s="8">
        <f t="shared" si="9"/>
        <v>2.4582167831576726E-2</v>
      </c>
      <c r="S20" s="12">
        <f t="shared" si="10"/>
        <v>9.1400244954295648E-2</v>
      </c>
      <c r="T20" s="26" t="str" cm="1">
        <f t="array" ref="T20">STATS_PCT_ERR(O20,S20,1,5)</f>
        <v>0.00000%</v>
      </c>
    </row>
    <row r="21" spans="2:20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K21" s="8" t="str">
        <v>Gap 6</v>
      </c>
      <c r="L21" s="14">
        <v>3.2783145718264595</v>
      </c>
      <c r="M21" s="12">
        <f t="shared" si="4"/>
        <v>1.8583195516863975E-3</v>
      </c>
      <c r="N21" s="12">
        <f t="shared" si="5"/>
        <v>0.10127574667703269</v>
      </c>
      <c r="O21" s="12">
        <f t="shared" si="6"/>
        <v>0.10129279449470568</v>
      </c>
      <c r="P21" s="12">
        <f t="shared" si="7"/>
        <v>1.0001683307033751</v>
      </c>
      <c r="Q21" s="8">
        <f t="shared" si="8"/>
        <v>0.93465596845025356</v>
      </c>
      <c r="R21" s="8">
        <f t="shared" si="9"/>
        <v>3.3775530438153234E-2</v>
      </c>
      <c r="S21" s="12">
        <f t="shared" si="10"/>
        <v>0.10129279449470568</v>
      </c>
      <c r="T21" s="26" t="str" cm="1">
        <f t="array" ref="T21">STATS_PCT_ERR(O21,S21,1,5)</f>
        <v>0.00000%</v>
      </c>
    </row>
    <row r="22" spans="2:20">
      <c r="K22" s="8" t="str">
        <v>Gap 7</v>
      </c>
      <c r="L22" s="14">
        <v>3.701521031625449</v>
      </c>
      <c r="M22" s="12">
        <f t="shared" si="4"/>
        <v>2.0982150288938474E-3</v>
      </c>
      <c r="N22" s="12">
        <f t="shared" si="5"/>
        <v>0.11434970565065468</v>
      </c>
      <c r="O22" s="12">
        <f t="shared" si="6"/>
        <v>0.11436895421703761</v>
      </c>
      <c r="P22" s="12">
        <f t="shared" si="7"/>
        <v>1.0001683307033753</v>
      </c>
      <c r="Q22" s="8">
        <f t="shared" si="8"/>
        <v>0.94283343844555345</v>
      </c>
      <c r="R22" s="8">
        <f t="shared" si="9"/>
        <v>2.942432450626601E-2</v>
      </c>
      <c r="S22" s="12">
        <f t="shared" si="10"/>
        <v>0.11436895421703761</v>
      </c>
      <c r="T22" s="26" t="str" cm="1">
        <f t="array" ref="T22">STATS_PCT_ERR(O22,S22,1,5)</f>
        <v>0.00000%</v>
      </c>
    </row>
    <row r="23" spans="2:20">
      <c r="B23" s="8" t="s">
        <v>179</v>
      </c>
      <c r="C23" s="12">
        <v>1.181</v>
      </c>
      <c r="K23" s="8" t="str">
        <v>Gap 8</v>
      </c>
      <c r="L23" s="14">
        <v>3.9713952788316917</v>
      </c>
      <c r="M23" s="12">
        <f t="shared" si="4"/>
        <v>2.2511938169546284E-3</v>
      </c>
      <c r="N23" s="12">
        <f t="shared" si="5"/>
        <v>0.12268682989419148</v>
      </c>
      <c r="O23" s="12">
        <f t="shared" si="6"/>
        <v>0.12270748185456244</v>
      </c>
      <c r="P23" s="12">
        <f t="shared" si="7"/>
        <v>1.0001683307033751</v>
      </c>
      <c r="Q23" s="8">
        <f t="shared" si="8"/>
        <v>0.98348742576051229</v>
      </c>
      <c r="R23" s="8">
        <f t="shared" si="9"/>
        <v>8.3250208824270297E-3</v>
      </c>
      <c r="S23" s="12">
        <f t="shared" si="10"/>
        <v>0.12270748185456244</v>
      </c>
      <c r="T23" s="26" t="str" cm="1">
        <f t="array" ref="T23">STATS_PCT_ERR(O23,S23,1,5)</f>
        <v>0.00000%</v>
      </c>
    </row>
    <row r="24" spans="2:20">
      <c r="E24" s="8" t="s">
        <v>121</v>
      </c>
      <c r="I24" s="8" t="s">
        <v>123</v>
      </c>
      <c r="K24" s="8" t="str">
        <v>Gap 9</v>
      </c>
      <c r="L24" s="14">
        <v>4.2965234678968427</v>
      </c>
      <c r="M24" s="12">
        <f t="shared" si="4"/>
        <v>2.4354934188709708E-3</v>
      </c>
      <c r="N24" s="12">
        <f t="shared" si="5"/>
        <v>0.13273089351038667</v>
      </c>
      <c r="O24" s="12">
        <f t="shared" si="6"/>
        <v>0.13275323619505089</v>
      </c>
      <c r="P24" s="12">
        <f t="shared" si="7"/>
        <v>1.0001683307033753</v>
      </c>
      <c r="Q24" s="8">
        <f t="shared" si="8"/>
        <v>1.0185824151005658</v>
      </c>
      <c r="R24" s="8">
        <f t="shared" si="9"/>
        <v>9.2056757066518516E-3</v>
      </c>
      <c r="S24" s="12">
        <f t="shared" si="10"/>
        <v>0.13275323619505089</v>
      </c>
      <c r="T24" s="26" t="str" cm="1">
        <f t="array" ref="T24">STATS_PCT_ERR(O24,S24,1,5)</f>
        <v>0.00000%</v>
      </c>
    </row>
    <row r="25" spans="2:20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20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2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  <c r="J27" s="8" t="b">
        <f>AND(I27&gt;$C$20,I27&lt;$C$21)</f>
        <v>1</v>
      </c>
      <c r="K27" s="8" t="str" cm="1">
        <f t="array" ref="K27:L30">B4:C7</f>
        <v>m_i</v>
      </c>
      <c r="L27" s="8">
        <v>0.107</v>
      </c>
    </row>
    <row r="28" spans="2:2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11">D28</f>
        <v>4</v>
      </c>
      <c r="I28" s="14" cm="1">
        <f t="array" ref="I28">ROOT(($G$26/H28)^2*$C$3,3)</f>
        <v>2.0652087686106273</v>
      </c>
      <c r="J28" s="8" t="b">
        <f t="shared" ref="J28:J35" si="12">AND(I28&gt;$C$20,I28&lt;$C$21)</f>
        <v>1</v>
      </c>
      <c r="K28" s="8" t="str">
        <v>m_o</v>
      </c>
      <c r="L28" s="8">
        <v>317.8</v>
      </c>
    </row>
    <row r="29" spans="2:2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11"/>
        <v>3</v>
      </c>
      <c r="I29" s="14" cm="1">
        <f t="array" ref="I29">ROOT(($G$26/H29)^2*$C$3,3)</f>
        <v>2.501822254626584</v>
      </c>
      <c r="J29" s="8" t="b">
        <f t="shared" si="12"/>
        <v>1</v>
      </c>
      <c r="K29" s="8" t="str">
        <v>in orbit</v>
      </c>
      <c r="L29" s="8">
        <v>1.524</v>
      </c>
    </row>
    <row r="30" spans="2:2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11"/>
        <v>2.5</v>
      </c>
      <c r="I30" s="14" cm="1">
        <f t="array" ref="I30">ROOT(($G$26/H30)^2*$C$3,3)</f>
        <v>2.8251658553519787</v>
      </c>
      <c r="J30" s="8" t="b">
        <f t="shared" si="12"/>
        <v>1</v>
      </c>
      <c r="K30" s="8" t="str">
        <v>out orbit</v>
      </c>
      <c r="L30" s="8">
        <v>5.2039999999999997</v>
      </c>
    </row>
    <row r="31" spans="2:2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11"/>
        <v>2.3333333333333335</v>
      </c>
      <c r="I31" s="14" cm="1">
        <f t="array" ref="I31">ROOT(($G$26/H31)^2*$C$3,3)</f>
        <v>2.9581448156989745</v>
      </c>
      <c r="J31" s="8" t="b">
        <f t="shared" si="12"/>
        <v>1</v>
      </c>
      <c r="L31" s="8" t="s">
        <v>192</v>
      </c>
      <c r="M31" s="8" t="s">
        <v>193</v>
      </c>
      <c r="N31" s="8" t="s">
        <v>194</v>
      </c>
      <c r="O31" s="8" t="s">
        <v>197</v>
      </c>
    </row>
    <row r="32" spans="2:2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11"/>
        <v>2</v>
      </c>
      <c r="I32" s="14" cm="1">
        <f t="array" ref="I32">ROOT(($G$26/H32)^2*$C$3,3)</f>
        <v>3.2783145718264595</v>
      </c>
      <c r="J32" s="8" t="b">
        <f t="shared" si="12"/>
        <v>1</v>
      </c>
      <c r="K32" s="8" t="str" cm="1">
        <f t="array" ref="K32:K40">"Gap "&amp;_xlfn.SEQUENCE(COUNTA(M32:M40))</f>
        <v>Gap 1</v>
      </c>
      <c r="L32" s="12" cm="1">
        <f t="array" ref="L32:L40">_xlfn.ANCHORARRAY(L4)</f>
        <v>1.8128148878546435</v>
      </c>
      <c r="M32" s="12" cm="1">
        <f t="array" ref="M32:M40">_xlfn.ANCHORARRAY(L16)</f>
        <v>1.7797429653011063</v>
      </c>
      <c r="N32" s="8" cm="1">
        <f t="array" ref="N32">_xlfn.LET(_xlpm.diff,STATS_PCT_DIF(L32,M32,0),IFERROR(_xlpm.diff,""))</f>
        <v>1.7999999999999999E-2</v>
      </c>
      <c r="O32" s="8" t="s">
        <v>206</v>
      </c>
      <c r="P32" s="8" t="e" cm="1">
        <f t="array" ref="P32">STATS_PCT_ERR(M32,O32)</f>
        <v>#VALUE!</v>
      </c>
      <c r="S32" s="8" t="s">
        <v>95</v>
      </c>
    </row>
    <row r="33" spans="2:1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11"/>
        <v>1.667</v>
      </c>
      <c r="I33" s="14" cm="1">
        <f t="array" ref="I33">ROOT(($G$26/H33)^2*$C$3,3)</f>
        <v>3.701521031625449</v>
      </c>
      <c r="J33" s="8" t="b">
        <f t="shared" si="12"/>
        <v>1</v>
      </c>
      <c r="K33" s="8" t="str">
        <v>Gap 2</v>
      </c>
      <c r="L33" s="12">
        <v>2.0311068554989036</v>
      </c>
      <c r="M33" s="12">
        <v>2.0652087686106273</v>
      </c>
      <c r="N33" s="8" cm="1">
        <f t="array" ref="N33">_xlfn.LET(_xlpm.diff,STATS_PCT_DIF(L33,M33,0),IFERROR(_xlpm.diff,""))</f>
        <v>1.7000000000000001E-2</v>
      </c>
      <c r="O33" s="14">
        <v>2.06</v>
      </c>
      <c r="P33" s="8" cm="1">
        <f t="array" ref="P33">STATS_PCT_ERR(M33,O33)*100</f>
        <v>0.3</v>
      </c>
      <c r="S33" s="8" t="s">
        <v>94</v>
      </c>
    </row>
    <row r="34" spans="2:1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11"/>
        <v>1.5</v>
      </c>
      <c r="I34" s="14" cm="1">
        <f t="array" ref="I34">ROOT(($G$26/H34)^2*$C$3,3)</f>
        <v>3.9713952788316917</v>
      </c>
      <c r="J34" s="8" t="b">
        <f t="shared" si="12"/>
        <v>1</v>
      </c>
      <c r="K34" s="8" t="str">
        <v>Gap 3</v>
      </c>
      <c r="L34" s="12">
        <v>2.2809019030373618</v>
      </c>
      <c r="M34" s="12">
        <v>2.501822254626584</v>
      </c>
      <c r="N34" s="8" cm="1">
        <f t="array" ref="N34">_xlfn.LET(_xlpm.diff,STATS_PCT_DIF(L34,M34,0),IFERROR(_xlpm.diff,""))</f>
        <v>9.1999999999999998E-2</v>
      </c>
      <c r="O34" s="14">
        <v>2.5</v>
      </c>
      <c r="P34" s="8" cm="1">
        <f t="array" ref="P34">STATS_PCT_ERR(M34,O34)*100</f>
        <v>0.1</v>
      </c>
      <c r="S34" s="8" t="s">
        <v>92</v>
      </c>
    </row>
    <row r="35" spans="2:1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11"/>
        <v>1.333</v>
      </c>
      <c r="I35" s="14" cm="1">
        <f t="array" ref="I35">ROOT(($G$26/H35)^2*$C$3,3)</f>
        <v>4.2965234678968427</v>
      </c>
      <c r="J35" s="8" t="b">
        <f t="shared" si="12"/>
        <v>1</v>
      </c>
      <c r="K35" s="8" t="str">
        <v>Gap 4</v>
      </c>
      <c r="L35" s="12">
        <v>2.5914296776409276</v>
      </c>
      <c r="M35" s="12">
        <v>2.8251658553519787</v>
      </c>
      <c r="N35" s="8" cm="1">
        <f t="array" ref="N35">_xlfn.LET(_xlpm.diff,STATS_PCT_DIF(L35,M35,0),IFERROR(_xlpm.diff,""))</f>
        <v>8.5999999999999993E-2</v>
      </c>
      <c r="O35" s="14">
        <v>2.82</v>
      </c>
      <c r="P35" s="8" cm="1">
        <f t="array" ref="P35">STATS_PCT_ERR(M35,O35)*100</f>
        <v>0.2</v>
      </c>
      <c r="S35" s="8" t="s">
        <v>98</v>
      </c>
    </row>
    <row r="36" spans="2:19">
      <c r="K36" s="8" t="str">
        <v>Gap 5</v>
      </c>
      <c r="L36" s="12">
        <v>2.8161989286579767</v>
      </c>
      <c r="M36" s="12">
        <v>2.9581448156989745</v>
      </c>
      <c r="N36" s="8" cm="1">
        <f t="array" ref="N36">_xlfn.LET(_xlpm.diff,STATS_PCT_DIF(L36,M36,0),IFERROR(_xlpm.diff,""))</f>
        <v>4.9000000000000002E-2</v>
      </c>
      <c r="O36" s="14">
        <v>2.95</v>
      </c>
      <c r="P36" s="8" cm="1">
        <f t="array" ref="P36">STATS_PCT_ERR(M36,O36)*100</f>
        <v>0.3</v>
      </c>
      <c r="S36" s="15" t="s">
        <v>187</v>
      </c>
    </row>
    <row r="37" spans="2:19">
      <c r="K37" s="8" t="str">
        <v>Gap 6</v>
      </c>
      <c r="L37" s="12">
        <v>3.0640962810150381</v>
      </c>
      <c r="M37" s="12">
        <v>3.2783145718264595</v>
      </c>
      <c r="N37" s="8" cm="1">
        <f t="array" ref="N37">_xlfn.LET(_xlpm.diff,STATS_PCT_DIF(L37,M37,0),IFERROR(_xlpm.diff,""))</f>
        <v>6.8000000000000005E-2</v>
      </c>
      <c r="O37" s="14">
        <v>3.27</v>
      </c>
      <c r="P37" s="8" cm="1">
        <f t="array" ref="P37">STATS_PCT_ERR(M37,O37)*100</f>
        <v>0.3</v>
      </c>
      <c r="S37" s="8" t="s">
        <v>93</v>
      </c>
    </row>
    <row r="38" spans="2:19">
      <c r="K38" s="8" t="str">
        <v>Gap 7</v>
      </c>
      <c r="L38" s="12">
        <v>3.4899178017259542</v>
      </c>
      <c r="M38" s="12">
        <v>3.701521031625449</v>
      </c>
      <c r="N38" s="8" cm="1">
        <f t="array" ref="N38">_xlfn.LET(_xlpm.diff,STATS_PCT_DIF(L38,M38,0),IFERROR(_xlpm.diff,""))</f>
        <v>5.8999999999999997E-2</v>
      </c>
      <c r="O38" s="14">
        <v>3.7</v>
      </c>
      <c r="P38" s="8" cm="1">
        <f t="array" ref="P38">STATS_PCT_ERR(M38,O38)*100</f>
        <v>0</v>
      </c>
      <c r="S38" s="8" t="s">
        <v>103</v>
      </c>
    </row>
    <row r="39" spans="2:19">
      <c r="K39" s="8" t="str">
        <v>Gap 8</v>
      </c>
      <c r="L39" s="12">
        <v>3.9058173194556325</v>
      </c>
      <c r="M39" s="12">
        <v>3.9713952788316917</v>
      </c>
      <c r="N39" s="8" cm="1">
        <f t="array" ref="N39">_xlfn.LET(_xlpm.diff,STATS_PCT_DIF(L39,M39,0),IFERROR(_xlpm.diff,""))</f>
        <v>1.7000000000000001E-2</v>
      </c>
      <c r="O39" s="14">
        <v>3.97</v>
      </c>
      <c r="P39" s="8" cm="1">
        <f t="array" ref="P39">STATS_PCT_ERR(M39,O39)*100</f>
        <v>0</v>
      </c>
      <c r="S39" s="8" t="s">
        <v>96</v>
      </c>
    </row>
    <row r="40" spans="2:19">
      <c r="K40" s="8" t="str">
        <v>Gap 9</v>
      </c>
      <c r="L40" s="12">
        <v>4.3763632504666248</v>
      </c>
      <c r="M40" s="12">
        <v>4.2965234678968427</v>
      </c>
      <c r="N40" s="8" cm="1">
        <f t="array" ref="N40">_xlfn.LET(_xlpm.diff,STATS_PCT_DIF(L40,M40,0),IFERROR(_xlpm.diff,""))</f>
        <v>1.7999999999999999E-2</v>
      </c>
      <c r="O40" s="14">
        <v>4.29</v>
      </c>
      <c r="P40" s="8" cm="1">
        <f t="array" ref="P40">STATS_PCT_ERR(M40,O40)*100</f>
        <v>0.2</v>
      </c>
      <c r="S40" s="8" t="s">
        <v>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R42"/>
  <sheetViews>
    <sheetView topLeftCell="D16" zoomScale="130" zoomScaleNormal="130" workbookViewId="0">
      <selection activeCell="G31" sqref="G31:H42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8.83203125" style="8" bestFit="1" customWidth="1"/>
    <col min="9" max="9" width="23.1640625" style="8" bestFit="1" customWidth="1"/>
    <col min="10" max="10" width="29.83203125" style="8" bestFit="1" customWidth="1"/>
    <col min="11" max="13" width="8.83203125" style="8" bestFit="1" customWidth="1"/>
    <col min="14" max="14" width="10.6640625" style="8" bestFit="1" customWidth="1"/>
    <col min="15" max="16" width="7.6640625" style="8" bestFit="1" customWidth="1"/>
    <col min="17" max="18" width="6.33203125" style="8" bestFit="1" customWidth="1"/>
    <col min="19" max="16384" width="10.83203125" style="8"/>
  </cols>
  <sheetData>
    <row r="2" spans="2:18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8">
      <c r="B3" s="8" t="s">
        <v>180</v>
      </c>
      <c r="C3" s="14">
        <v>1</v>
      </c>
      <c r="F3" s="14" cm="1">
        <f t="array" ref="F3:F26">_xlfn.VSTACK(E31:E42,I31:I42)</f>
        <v>4.4562030330364077</v>
      </c>
      <c r="G3" s="8" cm="1">
        <f t="array" ref="G3:G26">_xlfn.SEQUENCE(COUNTA(_xlfn.ANCHORARRAY(H3)))</f>
        <v>1</v>
      </c>
      <c r="H3" s="41" cm="1">
        <f t="array" ref="H3:H26">_xlfn._xlws.SORT(_xlfn.ANCHORARRAY(F3))</f>
        <v>1.7797429653011063</v>
      </c>
      <c r="K3" s="8" t="s">
        <v>218</v>
      </c>
      <c r="L3" s="8" t="s">
        <v>211</v>
      </c>
      <c r="M3" s="8" t="s">
        <v>212</v>
      </c>
      <c r="N3" s="8" t="s">
        <v>213</v>
      </c>
      <c r="O3" s="8" t="s">
        <v>216</v>
      </c>
      <c r="P3" s="8" t="s">
        <v>200</v>
      </c>
      <c r="Q3" s="8" t="s">
        <v>219</v>
      </c>
      <c r="R3" s="8" t="s">
        <v>217</v>
      </c>
    </row>
    <row r="4" spans="2:18">
      <c r="B4" s="8" t="s">
        <v>159</v>
      </c>
      <c r="C4" s="14">
        <v>0.107</v>
      </c>
      <c r="F4" s="14">
        <v>3.8402393600795737</v>
      </c>
      <c r="G4" s="8">
        <v>2</v>
      </c>
      <c r="H4" s="4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5">"Res "&amp;_xlfn.SEQUENCE(COUNTA(_xlfn.ANCHORARRAY(L4)))</f>
        <v>Res 1</v>
      </c>
      <c r="L4" s="12" cm="1">
        <f t="array" ref="L4:L15">_xlfn._xlws.FILTER(I4:I26,J4:J26=TRUE,"")</f>
        <v>1.8128148878546435</v>
      </c>
      <c r="M4" s="12" cm="1">
        <f t="array" ref="M4:M15">I31:I42</f>
        <v>1.7797429653011063</v>
      </c>
      <c r="N4" s="8" t="s">
        <v>206</v>
      </c>
      <c r="O4" s="8" t="s">
        <v>206</v>
      </c>
      <c r="P4" s="8" t="str" cm="1">
        <f t="array" ref="P4:R15">K18:M29</f>
        <v>5:1</v>
      </c>
      <c r="Q4" s="40">
        <v>5</v>
      </c>
      <c r="R4" s="8" t="str">
        <v>Gap</v>
      </c>
    </row>
    <row r="5" spans="2:18">
      <c r="B5" s="8" t="s">
        <v>160</v>
      </c>
      <c r="C5" s="14">
        <v>317.8</v>
      </c>
      <c r="F5" s="14">
        <v>3.5131524545485364</v>
      </c>
      <c r="G5" s="8">
        <v>3</v>
      </c>
      <c r="H5" s="41">
        <v>1.9970049423871796</v>
      </c>
      <c r="K5" s="8" t="str">
        <v>Res 2</v>
      </c>
      <c r="L5" s="12">
        <v>2.0311068554989036</v>
      </c>
      <c r="M5" s="12">
        <v>2.0652087686106273</v>
      </c>
      <c r="N5" s="14">
        <v>2.06</v>
      </c>
      <c r="O5" s="8" cm="1">
        <f t="array" ref="O5">STATS_PCT_ERR(M5,N5)*100</f>
        <v>0.3</v>
      </c>
      <c r="P5" s="8" t="str">
        <v>4:1</v>
      </c>
      <c r="Q5" s="40">
        <v>4</v>
      </c>
      <c r="R5" s="8" t="str">
        <v>Gap</v>
      </c>
    </row>
    <row r="6" spans="2:18">
      <c r="B6" s="24" t="s">
        <v>113</v>
      </c>
      <c r="C6" s="25">
        <v>1.524</v>
      </c>
      <c r="D6" s="25">
        <f>SQRT(C6^3/C3)</f>
        <v>1.881384018216377</v>
      </c>
      <c r="F6" s="14">
        <v>3.1700477463311016</v>
      </c>
      <c r="G6" s="8">
        <v>4</v>
      </c>
      <c r="H6" s="4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Res 3</v>
      </c>
      <c r="L6" s="12">
        <v>2.2000458021262328</v>
      </c>
      <c r="M6" s="12">
        <v>2.2574870013772781</v>
      </c>
      <c r="N6" s="8" t="s">
        <v>206</v>
      </c>
      <c r="O6" s="8" t="s">
        <v>206</v>
      </c>
      <c r="P6" s="15" t="str">
        <v>7:2</v>
      </c>
      <c r="Q6" s="40">
        <v>3.5</v>
      </c>
      <c r="R6" s="8" t="str">
        <v>Gap</v>
      </c>
    </row>
    <row r="7" spans="2:18">
      <c r="B7" s="24" t="s">
        <v>119</v>
      </c>
      <c r="C7" s="25">
        <v>5.2039999999999997</v>
      </c>
      <c r="D7" s="25">
        <f>SQRT(C7^3/C3)</f>
        <v>11.871509156969049</v>
      </c>
      <c r="F7" s="14">
        <v>2.9308953427042392</v>
      </c>
      <c r="G7" s="8">
        <v>5</v>
      </c>
      <c r="H7" s="41">
        <v>2.1426046028751875</v>
      </c>
      <c r="K7" s="8" t="str">
        <v>Res 4</v>
      </c>
      <c r="L7" s="12">
        <v>2.4605107289130599</v>
      </c>
      <c r="M7" s="12">
        <v>2.501822254626584</v>
      </c>
      <c r="N7" s="14">
        <v>2.5</v>
      </c>
      <c r="O7" s="8" cm="1">
        <f t="array" ref="O7">STATS_PCT_ERR(M7,N7)*100</f>
        <v>0.1</v>
      </c>
      <c r="P7" s="8" t="str">
        <v>3:1</v>
      </c>
      <c r="Q7" s="40">
        <v>3</v>
      </c>
      <c r="R7" s="8" t="str">
        <v>Gap</v>
      </c>
    </row>
    <row r="8" spans="2:18">
      <c r="B8" s="8" t="s">
        <v>126</v>
      </c>
      <c r="C8" s="14">
        <f>AVERAGE(C6:C7)</f>
        <v>3.3639999999999999</v>
      </c>
      <c r="F8" s="14">
        <v>2.8072320019639747</v>
      </c>
      <c r="G8" s="8">
        <v>6</v>
      </c>
      <c r="H8" s="41">
        <v>2.2574870013772781</v>
      </c>
      <c r="I8" s="12">
        <f>AVERAGE(H7:H8)</f>
        <v>2.2000458021262328</v>
      </c>
      <c r="J8" s="8" t="b">
        <f>AND(I8&gt;$C$20,I8&lt;$C$21)</f>
        <v>1</v>
      </c>
      <c r="K8" s="8" t="str">
        <v>Res 5</v>
      </c>
      <c r="L8" s="12">
        <v>2.6489269295660938</v>
      </c>
      <c r="M8" s="12">
        <v>2.7059635615246593</v>
      </c>
      <c r="N8" s="8" t="s">
        <v>206</v>
      </c>
      <c r="O8" s="8" t="s">
        <v>206</v>
      </c>
      <c r="P8" s="15" t="str">
        <v>8:3</v>
      </c>
      <c r="Q8" s="40">
        <v>2.6669999999999998</v>
      </c>
      <c r="R8" s="8" t="str">
        <v>Gap</v>
      </c>
    </row>
    <row r="9" spans="2:18">
      <c r="B9" s="8" t="s">
        <v>158</v>
      </c>
      <c r="C9" s="14">
        <f>ABS((C7-C6))/2</f>
        <v>1.8399999999999999</v>
      </c>
      <c r="F9" s="14">
        <v>2.6810371006552711</v>
      </c>
      <c r="G9" s="8">
        <v>7</v>
      </c>
      <c r="H9" s="41">
        <v>2.4191992031995362</v>
      </c>
      <c r="K9" s="8" t="str">
        <v>Res 6</v>
      </c>
      <c r="L9" s="12">
        <v>2.756597781744317</v>
      </c>
      <c r="M9" s="12">
        <v>2.8251658553519787</v>
      </c>
      <c r="N9" s="14">
        <v>2.82</v>
      </c>
      <c r="O9" s="8" cm="1">
        <f t="array" ref="O9">STATS_PCT_ERR(M9,N9)*100</f>
        <v>0.2</v>
      </c>
      <c r="P9" s="8" t="str">
        <v>5:2</v>
      </c>
      <c r="Q9" s="40">
        <v>2.5</v>
      </c>
      <c r="R9" s="8" t="str">
        <v>Gap</v>
      </c>
    </row>
    <row r="10" spans="2:18">
      <c r="B10" s="8" t="s">
        <v>161</v>
      </c>
      <c r="C10" s="14">
        <f>C8+C9*((C4-C5)/(C4+C5))</f>
        <v>1.5252386012261452</v>
      </c>
      <c r="F10" s="14">
        <v>2.6168167584769169</v>
      </c>
      <c r="G10" s="8">
        <v>8</v>
      </c>
      <c r="H10" s="41">
        <v>2.501822254626584</v>
      </c>
      <c r="I10" s="12">
        <f>AVERAGE(H9:H10)</f>
        <v>2.4605107289130599</v>
      </c>
      <c r="J10" s="8" t="b">
        <f>AND(I10&gt;$C$20,I10&lt;$C$21)</f>
        <v>1</v>
      </c>
      <c r="K10" s="8" t="str">
        <v>Res 7</v>
      </c>
      <c r="L10" s="12">
        <v>2.8780305990281088</v>
      </c>
      <c r="M10" s="12">
        <v>2.9581448156989745</v>
      </c>
      <c r="N10" s="14">
        <v>2.95</v>
      </c>
      <c r="O10" s="8" cm="1">
        <f t="array" ref="O10">STATS_PCT_ERR(M10,N10)*100</f>
        <v>0.3</v>
      </c>
      <c r="P10" s="15" t="str">
        <v>7:3</v>
      </c>
      <c r="Q10" s="40">
        <v>2.3333333333333335</v>
      </c>
      <c r="R10" s="8" t="str">
        <v>Gap</v>
      </c>
    </row>
    <row r="11" spans="2:18">
      <c r="B11" s="8" t="s">
        <v>162</v>
      </c>
      <c r="C11" s="14">
        <f>(C4+C5)/C2</f>
        <v>9.5467567567567577E-4</v>
      </c>
      <c r="F11" s="14">
        <v>2.4191992031995362</v>
      </c>
      <c r="G11" s="8">
        <v>9</v>
      </c>
      <c r="H11" s="41">
        <v>2.6168167584769169</v>
      </c>
      <c r="K11" s="8" t="str">
        <v>Res 8</v>
      </c>
      <c r="L11" s="12">
        <v>2.9944433206787204</v>
      </c>
      <c r="M11" s="12">
        <v>3.0307418256584659</v>
      </c>
      <c r="N11" s="8" t="s">
        <v>206</v>
      </c>
      <c r="O11" s="8" t="s">
        <v>206</v>
      </c>
      <c r="P11" s="8" t="str">
        <v>9:4</v>
      </c>
      <c r="Q11" s="40">
        <v>2.25</v>
      </c>
      <c r="R11" s="8" t="str">
        <v>Gap</v>
      </c>
    </row>
    <row r="12" spans="2:18">
      <c r="B12" s="8" t="s">
        <v>164</v>
      </c>
      <c r="C12" s="14">
        <f>C7-C6</f>
        <v>3.6799999999999997</v>
      </c>
      <c r="F12" s="14">
        <v>2.1426046028751875</v>
      </c>
      <c r="G12" s="8">
        <v>10</v>
      </c>
      <c r="H12" s="41">
        <v>2.6810371006552711</v>
      </c>
      <c r="I12" s="12">
        <f>AVERAGE(H11:H12)</f>
        <v>2.6489269295660938</v>
      </c>
      <c r="J12" s="8" t="b">
        <f>AND(I12&gt;$C$20,I12&lt;$C$21)</f>
        <v>1</v>
      </c>
      <c r="K12" s="8" t="str">
        <v>Res 9</v>
      </c>
      <c r="L12" s="12">
        <v>3.2241811590787806</v>
      </c>
      <c r="M12" s="12">
        <v>3.2783145718264595</v>
      </c>
      <c r="N12" s="14">
        <v>3.27</v>
      </c>
      <c r="O12" s="8" cm="1">
        <f t="array" ref="O12">STATS_PCT_ERR(M12,N12)*100</f>
        <v>0.3</v>
      </c>
      <c r="P12" s="8" t="str">
        <v>2:1</v>
      </c>
      <c r="Q12" s="40">
        <v>2</v>
      </c>
      <c r="R12" s="8" t="str">
        <v>Trap</v>
      </c>
    </row>
    <row r="13" spans="2:18">
      <c r="B13" s="8" t="s">
        <v>166</v>
      </c>
      <c r="C13" s="14">
        <v>2</v>
      </c>
      <c r="F13" s="14">
        <v>1.9970049423871796</v>
      </c>
      <c r="G13" s="8">
        <v>11</v>
      </c>
      <c r="H13" s="41">
        <v>2.7059635615246593</v>
      </c>
      <c r="K13" s="8" t="str">
        <v>Res 10</v>
      </c>
      <c r="L13" s="12">
        <v>3.6073367430869929</v>
      </c>
      <c r="M13" s="12">
        <v>3.701521031625449</v>
      </c>
      <c r="N13" s="14">
        <v>3.7</v>
      </c>
      <c r="O13" s="8" cm="1">
        <f t="array" ref="O13">STATS_PCT_ERR(M13,N13)*100</f>
        <v>0</v>
      </c>
      <c r="P13" s="8" t="str">
        <v>5:3</v>
      </c>
      <c r="Q13" s="40">
        <v>1.667</v>
      </c>
      <c r="R13" s="8" t="str">
        <v>Gap</v>
      </c>
    </row>
    <row r="14" spans="2:18">
      <c r="B14" s="8" t="s">
        <v>167</v>
      </c>
      <c r="C14" s="14" cm="1">
        <f t="array" ref="C14">1-(C13*ROOT(C11,3))</f>
        <v>0.80306845803805826</v>
      </c>
      <c r="F14" s="14">
        <v>1.8458868104081809</v>
      </c>
      <c r="G14" s="8">
        <v>12</v>
      </c>
      <c r="H14" s="41">
        <v>2.8072320019639747</v>
      </c>
      <c r="I14" s="12">
        <f>AVERAGE(H13:H14)</f>
        <v>2.756597781744317</v>
      </c>
      <c r="J14" s="8" t="b">
        <f>AND(I14&gt;$C$20,I14&lt;$C$21)</f>
        <v>1</v>
      </c>
      <c r="K14" s="8" t="str">
        <v>Res 11</v>
      </c>
      <c r="L14" s="12">
        <v>3.9058173194556325</v>
      </c>
      <c r="M14" s="12">
        <v>3.9713952788316917</v>
      </c>
      <c r="N14" s="14">
        <v>3.97</v>
      </c>
      <c r="O14" s="8" cm="1">
        <f t="array" ref="O14">STATS_PCT_ERR(M14,N14)*100</f>
        <v>0</v>
      </c>
      <c r="P14" s="8" t="str">
        <v>3:2</v>
      </c>
      <c r="Q14" s="40">
        <v>1.5</v>
      </c>
      <c r="R14" s="8" t="str">
        <v>Trap</v>
      </c>
    </row>
    <row r="15" spans="2:18">
      <c r="B15" s="8" t="s">
        <v>165</v>
      </c>
      <c r="C15" s="14">
        <f>C12*C14</f>
        <v>2.9552919255800543</v>
      </c>
      <c r="F15" s="14">
        <v>1.7797429653011063</v>
      </c>
      <c r="G15" s="8">
        <v>13</v>
      </c>
      <c r="H15" s="41">
        <v>2.8251658553519787</v>
      </c>
      <c r="K15" s="8" t="str">
        <v>Res 12</v>
      </c>
      <c r="L15" s="12">
        <v>4.3763632504666248</v>
      </c>
      <c r="M15" s="12">
        <v>4.2965234678968427</v>
      </c>
      <c r="N15" s="14">
        <v>4.29</v>
      </c>
      <c r="O15" s="8" cm="1">
        <f t="array" ref="O15">STATS_PCT_ERR(M15,N15)*100</f>
        <v>0.2</v>
      </c>
      <c r="P15" s="8" t="str">
        <v>4:3</v>
      </c>
      <c r="Q15" s="40">
        <v>1.333</v>
      </c>
      <c r="R15" s="8" t="str">
        <v>Trap</v>
      </c>
    </row>
    <row r="16" spans="2:18">
      <c r="B16" s="8" t="s">
        <v>170</v>
      </c>
      <c r="C16" s="14">
        <f>C4/(C4+C5)</f>
        <v>3.3657642014803068E-4</v>
      </c>
      <c r="F16" s="14">
        <v>2.0652087686106273</v>
      </c>
      <c r="G16" s="8">
        <v>14</v>
      </c>
      <c r="H16" s="41">
        <v>2.9308953427042392</v>
      </c>
      <c r="I16" s="12">
        <f>AVERAGE(H15:H16)</f>
        <v>2.8780305990281088</v>
      </c>
      <c r="J16" s="8" t="b">
        <f>AND(I16&gt;$C$20,I16&lt;$C$21)</f>
        <v>1</v>
      </c>
    </row>
    <row r="17" spans="2:13">
      <c r="B17" s="8" t="s">
        <v>171</v>
      </c>
      <c r="C17" s="14">
        <f>C5/(C4+C5)</f>
        <v>0.99966342357985183</v>
      </c>
      <c r="F17" s="14">
        <v>2.2574870013772781</v>
      </c>
      <c r="G17" s="8">
        <v>15</v>
      </c>
      <c r="H17" s="41">
        <v>2.9581448156989745</v>
      </c>
    </row>
    <row r="18" spans="2:13">
      <c r="B18" s="8" t="s">
        <v>172</v>
      </c>
      <c r="C18" s="14">
        <f>C15*C16</f>
        <v>9.9468157680411497E-4</v>
      </c>
      <c r="F18" s="14">
        <v>2.501822254626584</v>
      </c>
      <c r="G18" s="8">
        <v>16</v>
      </c>
      <c r="H18" s="41">
        <v>3.0307418256584659</v>
      </c>
      <c r="I18" s="12">
        <f>AVERAGE(H17:H18)</f>
        <v>2.9944433206787204</v>
      </c>
      <c r="J18" s="8" t="b">
        <f>AND(I18&gt;$C$20,I18&lt;$C$21)</f>
        <v>1</v>
      </c>
      <c r="K18" s="8" t="str" cm="1">
        <f t="array" ref="K18:K29">G31:G42</f>
        <v>5:1</v>
      </c>
      <c r="L18" s="14" cm="1">
        <f t="array" ref="L18:L29">H31:H42</f>
        <v>5</v>
      </c>
      <c r="M18" s="8" t="s">
        <v>82</v>
      </c>
    </row>
    <row r="19" spans="2:13">
      <c r="B19" s="8" t="s">
        <v>173</v>
      </c>
      <c r="C19" s="14">
        <f>C15*C17</f>
        <v>2.9542972440032496</v>
      </c>
      <c r="F19" s="14">
        <v>2.7059635615246593</v>
      </c>
      <c r="G19" s="8">
        <v>17</v>
      </c>
      <c r="H19" s="40">
        <v>3.1700477463311016</v>
      </c>
      <c r="K19" s="8" t="str">
        <v>4:1</v>
      </c>
      <c r="L19" s="14">
        <v>4</v>
      </c>
      <c r="M19" s="8" t="s">
        <v>82</v>
      </c>
    </row>
    <row r="20" spans="2:13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4">
        <v>2.8251658553519787</v>
      </c>
      <c r="G20" s="8">
        <v>18</v>
      </c>
      <c r="H20" s="40">
        <v>3.2783145718264595</v>
      </c>
      <c r="I20" s="12">
        <f>AVERAGE(H19:H20)</f>
        <v>3.2241811590787806</v>
      </c>
      <c r="J20" s="8" t="b">
        <f>AND(I20&gt;$C$20,I20&lt;$C$21)</f>
        <v>1</v>
      </c>
      <c r="K20" s="15" t="str">
        <v>7:2</v>
      </c>
      <c r="L20" s="14">
        <v>3.5</v>
      </c>
      <c r="M20" s="8" t="s">
        <v>82</v>
      </c>
    </row>
    <row r="21" spans="2:13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F21" s="14">
        <v>2.9581448156989745</v>
      </c>
      <c r="G21" s="8">
        <v>19</v>
      </c>
      <c r="H21" s="40">
        <v>3.5131524545485364</v>
      </c>
      <c r="K21" s="8" t="str">
        <v>3:1</v>
      </c>
      <c r="L21" s="14">
        <v>3</v>
      </c>
      <c r="M21" s="8" t="s">
        <v>82</v>
      </c>
    </row>
    <row r="22" spans="2:13">
      <c r="F22" s="14">
        <v>3.0307418256584659</v>
      </c>
      <c r="G22" s="8">
        <v>20</v>
      </c>
      <c r="H22" s="40">
        <v>3.701521031625449</v>
      </c>
      <c r="I22" s="12">
        <f>AVERAGE(H21:H22)</f>
        <v>3.6073367430869929</v>
      </c>
      <c r="J22" s="8" t="b">
        <f>AND(I22&gt;$C$20,I22&lt;$C$21)</f>
        <v>1</v>
      </c>
      <c r="K22" s="15" t="str">
        <v>8:3</v>
      </c>
      <c r="L22" s="8">
        <v>2.6669999999999998</v>
      </c>
      <c r="M22" s="8" t="s">
        <v>82</v>
      </c>
    </row>
    <row r="23" spans="2:13">
      <c r="B23" s="8" t="s">
        <v>179</v>
      </c>
      <c r="C23" s="12">
        <v>1.181</v>
      </c>
      <c r="F23" s="14">
        <v>3.2783145718264595</v>
      </c>
      <c r="G23" s="8">
        <v>21</v>
      </c>
      <c r="H23" s="40">
        <v>3.8402393600795737</v>
      </c>
      <c r="K23" s="8" t="str">
        <v>5:2</v>
      </c>
      <c r="L23" s="14">
        <v>2.5</v>
      </c>
      <c r="M23" s="8" t="s">
        <v>82</v>
      </c>
    </row>
    <row r="24" spans="2:13">
      <c r="F24" s="14">
        <v>3.701521031625449</v>
      </c>
      <c r="G24" s="8">
        <v>22</v>
      </c>
      <c r="H24" s="40">
        <v>3.9713952788316917</v>
      </c>
      <c r="I24" s="12">
        <f>AVERAGE(H23:H24)</f>
        <v>3.9058173194556325</v>
      </c>
      <c r="J24" s="8" t="b">
        <f>AND(I24&gt;$C$20,I24&lt;$C$21)</f>
        <v>1</v>
      </c>
      <c r="K24" s="15" t="str">
        <v>7:3</v>
      </c>
      <c r="L24" s="14">
        <v>2.3333333333333335</v>
      </c>
      <c r="M24" s="8" t="s">
        <v>82</v>
      </c>
    </row>
    <row r="25" spans="2:13">
      <c r="F25" s="14">
        <v>3.9713952788316917</v>
      </c>
      <c r="G25" s="8">
        <v>23</v>
      </c>
      <c r="H25" s="40">
        <v>4.2965234678968427</v>
      </c>
      <c r="K25" s="8" t="str">
        <v>9:4</v>
      </c>
      <c r="L25" s="14">
        <v>2.25</v>
      </c>
      <c r="M25" s="8" t="s">
        <v>82</v>
      </c>
    </row>
    <row r="26" spans="2:13">
      <c r="F26" s="14">
        <v>4.2965234678968427</v>
      </c>
      <c r="G26" s="8">
        <v>24</v>
      </c>
      <c r="H26" s="40">
        <v>4.4562030330364077</v>
      </c>
      <c r="I26" s="12">
        <f>AVERAGE(H25:H26)</f>
        <v>4.3763632504666248</v>
      </c>
      <c r="J26" s="8" t="b">
        <f>AND(I26&gt;$C$20,I26&lt;$C$21)</f>
        <v>1</v>
      </c>
      <c r="K26" s="8" t="str">
        <v>2:1</v>
      </c>
      <c r="L26" s="14">
        <v>2</v>
      </c>
      <c r="M26" s="8" t="s">
        <v>204</v>
      </c>
    </row>
    <row r="27" spans="2:13">
      <c r="K27" s="8" t="str">
        <v>5:3</v>
      </c>
      <c r="L27" s="14">
        <v>1.667</v>
      </c>
      <c r="M27" s="8" t="s">
        <v>82</v>
      </c>
    </row>
    <row r="28" spans="2:13">
      <c r="E28" s="8" t="s">
        <v>121</v>
      </c>
      <c r="I28" s="8" t="s">
        <v>123</v>
      </c>
      <c r="K28" s="8" t="str">
        <v>3:2</v>
      </c>
      <c r="L28" s="14">
        <v>1.5</v>
      </c>
      <c r="M28" s="8" t="s">
        <v>204</v>
      </c>
    </row>
    <row r="29" spans="2:13">
      <c r="B29" s="24" t="s">
        <v>113</v>
      </c>
      <c r="C29" s="25" cm="1">
        <f t="array" ref="C29:C30">TRANSPOSE(C6:D6)</f>
        <v>1.524</v>
      </c>
      <c r="E29" s="8" t="s">
        <v>122</v>
      </c>
      <c r="F29" s="24" t="s">
        <v>119</v>
      </c>
      <c r="G29" s="25" cm="1">
        <f t="array" ref="G29:G30">TRANSPOSE(C7:D7)</f>
        <v>5.2039999999999997</v>
      </c>
      <c r="I29" s="8" t="s">
        <v>122</v>
      </c>
      <c r="K29" s="8" t="str">
        <v>4:3</v>
      </c>
      <c r="L29" s="14">
        <v>1.333</v>
      </c>
      <c r="M29" s="8" t="s">
        <v>204</v>
      </c>
    </row>
    <row r="30" spans="2:13">
      <c r="B30" s="24" t="s">
        <v>115</v>
      </c>
      <c r="C30" s="25">
        <v>1.881384018216377</v>
      </c>
      <c r="D30" s="8" t="s">
        <v>114</v>
      </c>
      <c r="F30" s="24" t="s">
        <v>120</v>
      </c>
      <c r="G30" s="25">
        <v>11.871509156969049</v>
      </c>
      <c r="H30" s="8" t="s">
        <v>114</v>
      </c>
    </row>
    <row r="31" spans="2:13">
      <c r="B31" s="8" t="s">
        <v>108</v>
      </c>
      <c r="C31" s="8" t="s">
        <v>95</v>
      </c>
      <c r="D31" s="14">
        <v>5</v>
      </c>
      <c r="E31" s="14" cm="1">
        <f t="array" ref="E31">ROOT(($C$30*D31)^2*$C$3,3)</f>
        <v>4.4562030330364077</v>
      </c>
      <c r="F31" s="8" t="s">
        <v>108</v>
      </c>
      <c r="G31" s="8" t="s">
        <v>95</v>
      </c>
      <c r="H31" s="14">
        <f>D31</f>
        <v>5</v>
      </c>
      <c r="I31" s="14" cm="1">
        <f t="array" ref="I31">ROOT(($G$30/H31)^2*$C$3,3)</f>
        <v>1.7797429653011063</v>
      </c>
    </row>
    <row r="32" spans="2:13">
      <c r="B32" s="8" t="s">
        <v>109</v>
      </c>
      <c r="C32" s="8" t="s">
        <v>94</v>
      </c>
      <c r="D32" s="14">
        <v>4</v>
      </c>
      <c r="E32" s="14" cm="1">
        <f t="array" ref="E32">ROOT(($C$30*D32)^2*$C$3,3)</f>
        <v>3.8402393600795737</v>
      </c>
      <c r="F32" s="8" t="s">
        <v>109</v>
      </c>
      <c r="G32" s="8" t="s">
        <v>94</v>
      </c>
      <c r="H32" s="14">
        <f t="shared" ref="H32:H39" si="0">D32</f>
        <v>4</v>
      </c>
      <c r="I32" s="14" cm="1">
        <f t="array" ref="I32">ROOT(($G$30/H32)^2*$C$3,3)</f>
        <v>2.0652087686106273</v>
      </c>
    </row>
    <row r="33" spans="2:9">
      <c r="B33" s="8" t="s">
        <v>110</v>
      </c>
      <c r="C33" s="15" t="s">
        <v>209</v>
      </c>
      <c r="D33" s="14">
        <v>3.5</v>
      </c>
      <c r="E33" s="14" cm="1">
        <f t="array" ref="E33">ROOT(($C$30*D33)^2*$C$3,3)</f>
        <v>3.5131524545485364</v>
      </c>
      <c r="F33" s="8" t="s">
        <v>110</v>
      </c>
      <c r="G33" s="15" t="s">
        <v>209</v>
      </c>
      <c r="H33" s="14">
        <v>3.5</v>
      </c>
      <c r="I33" s="14" cm="1">
        <f t="array" ref="I33">ROOT(($G$30/H33)^2*$C$3,3)</f>
        <v>2.2574870013772781</v>
      </c>
    </row>
    <row r="34" spans="2:9">
      <c r="B34" s="8" t="s">
        <v>111</v>
      </c>
      <c r="C34" s="8" t="s">
        <v>92</v>
      </c>
      <c r="D34" s="14">
        <v>3</v>
      </c>
      <c r="E34" s="14" cm="1">
        <f t="array" ref="E34">ROOT(($C$30*D34)^2*$C$3,3)</f>
        <v>3.1700477463311016</v>
      </c>
      <c r="F34" s="8" t="s">
        <v>111</v>
      </c>
      <c r="G34" s="8" t="s">
        <v>92</v>
      </c>
      <c r="H34" s="14">
        <f>D34</f>
        <v>3</v>
      </c>
      <c r="I34" s="14" cm="1">
        <f t="array" ref="I34">ROOT(($G$30/H34)^2*$C$3,3)</f>
        <v>2.501822254626584</v>
      </c>
    </row>
    <row r="35" spans="2:9">
      <c r="B35" s="8" t="s">
        <v>112</v>
      </c>
      <c r="C35" s="15" t="s">
        <v>208</v>
      </c>
      <c r="D35" s="8">
        <v>2.6669999999999998</v>
      </c>
      <c r="E35" s="14" cm="1">
        <f t="array" ref="E35">ROOT(($C$30*D35)^2*$C$3,3)</f>
        <v>2.9308953427042392</v>
      </c>
      <c r="F35" s="8" t="s">
        <v>112</v>
      </c>
      <c r="G35" s="15" t="s">
        <v>208</v>
      </c>
      <c r="H35" s="8">
        <v>2.6669999999999998</v>
      </c>
      <c r="I35" s="14" cm="1">
        <f t="array" ref="I35">ROOT(($G$30/H35)^2*$C$3,3)</f>
        <v>2.7059635615246593</v>
      </c>
    </row>
    <row r="36" spans="2:9">
      <c r="B36" s="8" t="s">
        <v>116</v>
      </c>
      <c r="C36" s="8" t="s">
        <v>98</v>
      </c>
      <c r="D36" s="14">
        <v>2.5</v>
      </c>
      <c r="E36" s="14" cm="1">
        <f t="array" ref="E36">ROOT(($C$30*D36)^2*$C$3,3)</f>
        <v>2.8072320019639747</v>
      </c>
      <c r="F36" s="8" t="s">
        <v>116</v>
      </c>
      <c r="G36" s="8" t="s">
        <v>98</v>
      </c>
      <c r="H36" s="14">
        <f>D36</f>
        <v>2.5</v>
      </c>
      <c r="I36" s="14" cm="1">
        <f t="array" ref="I36">ROOT(($G$30/H36)^2*$C$3,3)</f>
        <v>2.8251658553519787</v>
      </c>
    </row>
    <row r="37" spans="2:9">
      <c r="B37" s="8" t="s">
        <v>117</v>
      </c>
      <c r="C37" s="15" t="s">
        <v>187</v>
      </c>
      <c r="D37" s="14">
        <f>7/3</f>
        <v>2.3333333333333335</v>
      </c>
      <c r="E37" s="14" cm="1">
        <f t="array" ref="E37">ROOT(($C$30*D37)^2*$C$3,3)</f>
        <v>2.6810371006552711</v>
      </c>
      <c r="F37" s="8" t="s">
        <v>117</v>
      </c>
      <c r="G37" s="15" t="s">
        <v>187</v>
      </c>
      <c r="H37" s="14">
        <f>D37</f>
        <v>2.3333333333333335</v>
      </c>
      <c r="I37" s="14" cm="1">
        <f t="array" ref="I37">ROOT(($G$30/H37)^2*$C$3,3)</f>
        <v>2.9581448156989745</v>
      </c>
    </row>
    <row r="38" spans="2:9">
      <c r="B38" s="8" t="s">
        <v>118</v>
      </c>
      <c r="C38" s="15" t="s">
        <v>214</v>
      </c>
      <c r="D38" s="14">
        <v>2.25</v>
      </c>
      <c r="E38" s="14" cm="1">
        <f t="array" ref="E38">ROOT(($C$30*D38)^2*$C$3,3)</f>
        <v>2.6168167584769169</v>
      </c>
      <c r="F38" s="8" t="s">
        <v>118</v>
      </c>
      <c r="G38" s="15" t="s">
        <v>214</v>
      </c>
      <c r="H38" s="14">
        <v>2.25</v>
      </c>
      <c r="I38" s="14" cm="1">
        <f t="array" ref="I38">ROOT(($G$30/H38)^2*$C$3,3)</f>
        <v>3.0307418256584659</v>
      </c>
    </row>
    <row r="39" spans="2:9">
      <c r="B39" s="8" t="s">
        <v>186</v>
      </c>
      <c r="C39" s="8" t="s">
        <v>93</v>
      </c>
      <c r="D39" s="14">
        <v>2</v>
      </c>
      <c r="E39" s="14" cm="1">
        <f t="array" ref="E39">ROOT(($C$30*D39)^2*$C$3,3)</f>
        <v>2.4191992031995362</v>
      </c>
      <c r="F39" s="8" t="s">
        <v>186</v>
      </c>
      <c r="G39" s="8" t="s">
        <v>93</v>
      </c>
      <c r="H39" s="14">
        <f>D39</f>
        <v>2</v>
      </c>
      <c r="I39" s="14" cm="1">
        <f t="array" ref="I39">ROOT(($G$30/H39)^2*$C$3,3)</f>
        <v>3.2783145718264595</v>
      </c>
    </row>
    <row r="40" spans="2:9">
      <c r="B40" s="8" t="s">
        <v>207</v>
      </c>
      <c r="C40" s="8" t="s">
        <v>103</v>
      </c>
      <c r="D40" s="14">
        <v>1.667</v>
      </c>
      <c r="E40" s="14" cm="1">
        <f t="array" ref="E40">ROOT(($C$30*D40)^2*$C$3,3)</f>
        <v>2.1426046028751875</v>
      </c>
      <c r="F40" s="8" t="s">
        <v>207</v>
      </c>
      <c r="G40" s="8" t="s">
        <v>103</v>
      </c>
      <c r="H40" s="14">
        <f>D40</f>
        <v>1.667</v>
      </c>
      <c r="I40" s="14" cm="1">
        <f t="array" ref="I40">ROOT(($G$30/H40)^2*$C$3,3)</f>
        <v>3.701521031625449</v>
      </c>
    </row>
    <row r="41" spans="2:9">
      <c r="B41" s="8" t="s">
        <v>210</v>
      </c>
      <c r="C41" s="8" t="s">
        <v>96</v>
      </c>
      <c r="D41" s="14">
        <v>1.5</v>
      </c>
      <c r="E41" s="14" cm="1">
        <f t="array" ref="E41">ROOT(($C$30*D41)^2*$C$3,3)</f>
        <v>1.9970049423871796</v>
      </c>
      <c r="F41" s="8" t="s">
        <v>210</v>
      </c>
      <c r="G41" s="8" t="s">
        <v>96</v>
      </c>
      <c r="H41" s="14">
        <f>D41</f>
        <v>1.5</v>
      </c>
      <c r="I41" s="14" cm="1">
        <f t="array" ref="I41">ROOT(($G$30/H41)^2*$C$3,3)</f>
        <v>3.9713952788316917</v>
      </c>
    </row>
    <row r="42" spans="2:9">
      <c r="B42" s="8" t="s">
        <v>215</v>
      </c>
      <c r="C42" s="8" t="s">
        <v>97</v>
      </c>
      <c r="D42" s="14">
        <v>1.333</v>
      </c>
      <c r="E42" s="14" cm="1">
        <f t="array" ref="E42">ROOT(($C$30*D42)^2*$C$3,3)</f>
        <v>1.8458868104081809</v>
      </c>
      <c r="F42" s="8" t="s">
        <v>215</v>
      </c>
      <c r="G42" s="8" t="s">
        <v>97</v>
      </c>
      <c r="H42" s="14">
        <f>D42</f>
        <v>1.333</v>
      </c>
      <c r="I42" s="14" cm="1">
        <f t="array" ref="I42">ROOT(($G$30/H42)^2*$C$3,3)</f>
        <v>4.2965234678968427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Stele-Rosetta system</vt:lpstr>
      <vt:lpstr>Stele</vt:lpstr>
      <vt:lpstr>Resonances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2025-09-14T18:56:55Z</dcterms:modified>
</cp:coreProperties>
</file>