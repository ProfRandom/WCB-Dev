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BF36A688-832A-6346-9D12-70776EAEF88C}" xr6:coauthVersionLast="47" xr6:coauthVersionMax="47" xr10:uidLastSave="{00000000-0000-0000-0000-000000000000}"/>
  <bookViews>
    <workbookView xWindow="0" yWindow="22100" windowWidth="33400" windowHeight="17660" tabRatio="833" activeTab="1" xr2:uid="{1F53B416-A8EA-154F-927D-A8DD520A3B1E}"/>
  </bookViews>
  <sheets>
    <sheet name="Stele-Rosetta system" sheetId="39" r:id="rId1"/>
    <sheet name="Stele" sheetId="41" r:id="rId2"/>
    <sheet name="Hororology" sheetId="40" r:id="rId3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AVERAGE(MIN(_xlpm.array), MAX(_xlpm.array))),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1" i="41" l="1"/>
  <c r="P51" i="41"/>
  <c r="Q50" i="41"/>
  <c r="P50" i="41"/>
  <c r="Q53" i="41"/>
  <c r="O53" i="41"/>
  <c r="T34" i="41"/>
  <c r="T35" i="41"/>
  <c r="T36" i="41"/>
  <c r="T37" i="41"/>
  <c r="T38" i="41"/>
  <c r="T39" i="41"/>
  <c r="T40" i="41"/>
  <c r="T33" i="41"/>
  <c r="V34" i="41" a="1"/>
  <c r="V34" i="41" s="1"/>
  <c r="V35" i="41" a="1"/>
  <c r="V35" i="41" s="1"/>
  <c r="V36" i="41" a="1"/>
  <c r="V36" i="41" s="1"/>
  <c r="V37" i="41" a="1"/>
  <c r="V37" i="41" s="1"/>
  <c r="V38" i="41" a="1"/>
  <c r="V38" i="41" s="1"/>
  <c r="V39" i="41" a="1"/>
  <c r="V39" i="41" s="1"/>
  <c r="V40" i="41" a="1"/>
  <c r="V40" i="41" s="1"/>
  <c r="V33" i="41" a="1"/>
  <c r="V33" i="41" s="1"/>
  <c r="U34" i="41"/>
  <c r="U35" i="41"/>
  <c r="U36" i="41"/>
  <c r="U37" i="41"/>
  <c r="U38" i="41"/>
  <c r="U39" i="41"/>
  <c r="U40" i="41"/>
  <c r="U33" i="41"/>
  <c r="R32" i="41" a="1"/>
  <c r="R32" i="41" s="1"/>
  <c r="Q28" i="41"/>
  <c r="Q27" i="41"/>
  <c r="Q29" i="41"/>
  <c r="P27" i="41"/>
  <c r="P29" i="41"/>
  <c r="O28" i="41"/>
  <c r="O27" i="41"/>
  <c r="N27" i="41"/>
  <c r="I31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4" i="41"/>
  <c r="G25" i="41"/>
  <c r="G26" i="41"/>
  <c r="G27" i="41"/>
  <c r="G28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E26" i="41"/>
  <c r="E27" i="41"/>
  <c r="E28" i="41"/>
  <c r="E29" i="41"/>
  <c r="E30" i="41"/>
  <c r="E31" i="41"/>
  <c r="E32" i="41"/>
  <c r="E33" i="41"/>
  <c r="E24" i="4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K4" i="39"/>
  <c r="K5" i="39"/>
  <c r="K6" i="39"/>
  <c r="K7" i="39"/>
  <c r="K8" i="39"/>
  <c r="K9" i="39"/>
  <c r="K10" i="39"/>
  <c r="K11" i="39"/>
  <c r="K12" i="39"/>
  <c r="K3" i="39"/>
  <c r="J4" i="39"/>
  <c r="J5" i="39"/>
  <c r="J6" i="39"/>
  <c r="J7" i="39"/>
  <c r="J8" i="39"/>
  <c r="J9" i="39"/>
  <c r="J10" i="39"/>
  <c r="J11" i="39"/>
  <c r="J12" i="39"/>
  <c r="J3" i="39"/>
  <c r="I4" i="39"/>
  <c r="I5" i="39"/>
  <c r="I6" i="39"/>
  <c r="I7" i="39"/>
  <c r="I8" i="39"/>
  <c r="I9" i="39"/>
  <c r="I10" i="39"/>
  <c r="I11" i="39"/>
  <c r="I12" i="39"/>
  <c r="I3" i="39"/>
  <c r="H3" i="39" a="1"/>
  <c r="H3" i="39" s="1"/>
  <c r="G25" i="40" l="1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D27" i="40" l="1"/>
  <c r="G27" i="40" s="1"/>
  <c r="I27" i="40" s="1"/>
  <c r="J27" i="4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<sst xmlns="http://schemas.openxmlformats.org/spreadsheetml/2006/main" count="172" uniqueCount="110">
  <si>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</si>
  <si>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</si>
  <si>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</si>
  <si>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</si>
  <si>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</si>
  <si>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</si>
  <si>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</si>
  <si>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</si>
  <si>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</si>
  <si>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</si>
  <si>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</si>
  <si>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</si>
  <si>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</si>
  <si>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</si>
  <si>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</si>
  <si>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</si>
  <si>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</si>
  <si>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</si>
  <si>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</si>
  <si>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</si>
  <si>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</si>
  <si>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</si>
  <si>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</si>
  <si>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</si>
  <si>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</si>
  <si>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</si>
  <si>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</si>
  <si>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</si>
  <si>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</si>
  <si>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</si>
  <si>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</si>
  <si>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</si>
  <si>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</si>
  <si>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</si>
  <si>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</si>
  <si>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</si>
  <si>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</si>
  <si>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</si>
  <si>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</si>
  <si>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</si>
  <si>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</si>
  <si>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</si>
  <si>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</si>
  <si>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</si>
  <si>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</si>
  <si>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</si>
  <si>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</si>
  <si>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</si>
  <si>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</si>
  <si>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</si>
  <si>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</si>
  <si>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</si>
  <si>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</si>
  <si>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</si>
  <si>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</si>
  <si>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</si>
  <si>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</si>
  <si>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</si>
  <si>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</si>
  <si>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</si>
  <si>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</si>
  <si>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</si>
  <si>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</si>
  <si>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</si>
  <si>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</si>
  <si>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</si>
  <si>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</si>
  <si>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</si>
  <si>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</si>
  <si>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</si>
  <si>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</si>
  <si>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</si>
  <si>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</si>
  <si>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</si>
  <si>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</si>
  <si>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</si>
  <si>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</si>
  <si>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</si>
  <si>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</si>
  <si>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</si>
  <si>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</si>
  <si>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</si>
  <si>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</si>
  <si>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</si>
  <si>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</si>
  <si>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</si>
  <si>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</si>
  <si>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</si>
  <si>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</si>
  <si>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</si>
  <si>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</si>
  <si>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</si>
  <si>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</si>
  <si>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</si>
  <si>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</si>
  <si>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</si>
  <si>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</si>
  <si>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</si>
  <si>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</si>
  <si>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</si>
  <si>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</si>
  <si>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</si>
  <si>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</si>
  <si>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</si>
  <si>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</si>
  <si>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</si>
  <si>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</si>
  <si>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</si>
  <si>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clear</t>
  </si>
  <si>
    <t>clump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</si>
</sst>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00"/>
  </numFmts>
  <fonts count="3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164" fontId="2" fillId="0" borderId="0" xfId="1" applyNumberFormat="1" applyFont="1"/>
    <xf numFmtId="164" fontId="2" fillId="0" borderId="0" xfId="0" applyNumberFormat="1" applyFont="1"/>
    <xf numFmtId="0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0" fillId="0" borderId="0" xfId="0" quotePrefix="1"/>
  </cellXfs>
  <cellStyles count="2">
    <cellStyle name="Normal" xfId="0" builtinId="0"/>
    <cellStyle name="Normal 2" xfId="1" xr:uid="{02AC8E82-F080-2843-9420-50E3B01A35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V58"/>
  <sheetViews>
    <sheetView tabSelected="1" zoomScale="110" zoomScaleNormal="110" workbookViewId="0">
      <selection activeCell="Q52" sqref="Q52"/>
    </sheetView>
  </sheetViews>
  <sheetFormatPr baseColWidth="10" defaultColWidth="8.83203125" defaultRowHeight="16"/>
  <cols>
    <col min="2" max="2" width="14.6640625" bestFit="1" customWidth="1"/>
    <col min="3" max="3" width="12.1640625" bestFit="1" customWidth="1"/>
    <col min="4" max="4" width="12" bestFit="1" customWidth="1"/>
    <col min="6" max="6" width="12" bestFit="1" customWidth="1"/>
    <col min="8" max="8" width="12.83203125" bestFit="1" customWidth="1"/>
  </cols>
  <sheetData>
    <row r="2" spans="2:11">
      <c r="B2" s="1" t="s">
        <v>0</v>
      </c>
      <c r="C2" s="4">
        <v>1.181</v>
      </c>
      <c r="D2" s="1"/>
    </row>
    <row r="3" spans="2:11">
      <c r="B3" s="1" t="s">
        <v>1</v>
      </c>
      <c r="C3" s="4">
        <v>1.1617999999999999</v>
      </c>
      <c r="D3" s="1"/>
    </row>
    <row r="4" spans="2:11">
      <c r="B4" s="1" t="s">
        <v>6</v>
      </c>
      <c r="C4" s="4">
        <v>1.0869</v>
      </c>
      <c r="D4" s="2">
        <v>6304</v>
      </c>
    </row>
    <row r="5" spans="2:11">
      <c r="B5" s="1" t="s">
        <v>7</v>
      </c>
      <c r="C5" s="4">
        <v>1.8839999999999999</v>
      </c>
      <c r="D5" s="2"/>
    </row>
    <row r="6" spans="2:11">
      <c r="B6" s="1" t="s">
        <v>8</v>
      </c>
      <c r="C6" s="4">
        <v>0.6623</v>
      </c>
      <c r="D6" s="3" t="s">
        <v>18</v>
      </c>
    </row>
    <row r="7" spans="2:11">
      <c r="B7" s="1" t="s">
        <v>9</v>
      </c>
      <c r="C7" s="5" t="s">
        <v>5</v>
      </c>
      <c r="D7" s="2"/>
    </row>
    <row r="8" spans="2:11">
      <c r="B8" s="1" t="s">
        <v>10</v>
      </c>
      <c r="C8" s="4">
        <v>1.3725000000000001</v>
      </c>
      <c r="D8" s="3" t="s">
        <v>21</v>
      </c>
    </row>
    <row r="9" spans="2:11">
      <c r="B9" s="1" t="s">
        <v>11</v>
      </c>
      <c r="C9" s="4">
        <v>0.68600000000000005</v>
      </c>
      <c r="D9" s="2"/>
    </row>
    <row r="10" spans="2:11">
      <c r="B10" s="1" t="s">
        <v>12</v>
      </c>
      <c r="C10" s="4">
        <v>1.0289999999999999</v>
      </c>
      <c r="D10" s="1"/>
    </row>
    <row r="11" spans="2:11">
      <c r="B11" s="1" t="s">
        <v>13</v>
      </c>
      <c r="C11" s="4">
        <v>1.304</v>
      </c>
      <c r="D11" s="1"/>
      <c r="I11">
        <v>1</v>
      </c>
      <c r="J11">
        <v>5</v>
      </c>
      <c r="K11" t="s">
        <v>76</v>
      </c>
    </row>
    <row r="12" spans="2:11">
      <c r="B12" s="1" t="s">
        <v>14</v>
      </c>
      <c r="C12" s="4">
        <v>1.901</v>
      </c>
      <c r="D12" s="1"/>
      <c r="I12">
        <f>AVERAGE(I11,I13)</f>
        <v>1.2</v>
      </c>
      <c r="J12">
        <f>AVERAGE(J11,J13)</f>
        <v>3.5</v>
      </c>
      <c r="K12" t="s">
        <v>78</v>
      </c>
    </row>
    <row r="13" spans="2:11">
      <c r="B13" s="1" t="s">
        <v>15</v>
      </c>
      <c r="C13" s="4">
        <v>2.4289999999999998</v>
      </c>
      <c r="D13" s="1"/>
      <c r="I13">
        <v>1.4</v>
      </c>
      <c r="J13">
        <v>2</v>
      </c>
      <c r="K13" t="s">
        <v>77</v>
      </c>
    </row>
    <row r="14" spans="2:11">
      <c r="B14" s="1" t="s">
        <v>16</v>
      </c>
      <c r="C14" s="4">
        <v>6.657</v>
      </c>
      <c r="D14" s="1"/>
    </row>
    <row r="15" spans="2:11">
      <c r="B15" s="1" t="s">
        <v>17</v>
      </c>
      <c r="C15" s="4">
        <v>1.0570999999999999</v>
      </c>
      <c r="D15" s="1"/>
    </row>
    <row r="16" spans="2:11">
      <c r="B16" s="1" t="s">
        <v>87</v>
      </c>
      <c r="C16" s="4">
        <v>1.0999999999999999E-2</v>
      </c>
    </row>
    <row r="17" spans="2:18">
      <c r="B17" s="1" t="s">
        <v>88</v>
      </c>
      <c r="C17" s="4">
        <f>SQRT($C$5/2)</f>
        <v>0.97056684468407428</v>
      </c>
    </row>
    <row r="18" spans="2:18">
      <c r="B18" s="1" t="s">
        <v>89</v>
      </c>
      <c r="C18" s="4">
        <f>SQRT($C$5/7.5)</f>
        <v>0.50119856344566671</v>
      </c>
    </row>
    <row r="19" spans="2:18">
      <c r="B19" s="1" t="s">
        <v>90</v>
      </c>
      <c r="C19" s="4">
        <f>SQRT($C$5/20)</f>
        <v>0.30692018506445612</v>
      </c>
    </row>
    <row r="22" spans="2:18">
      <c r="B22" t="s">
        <v>79</v>
      </c>
      <c r="C22" t="s">
        <v>80</v>
      </c>
      <c r="D22" t="s">
        <v>81</v>
      </c>
      <c r="E22" t="s">
        <v>82</v>
      </c>
      <c r="F22" t="s">
        <v>83</v>
      </c>
    </row>
    <row r="23" spans="2:18">
      <c r="B23">
        <v>1</v>
      </c>
      <c r="C23" s="10">
        <v>1.2E-2</v>
      </c>
      <c r="D23" s="10"/>
      <c r="E23" s="10"/>
      <c r="F23" s="12" t="str">
        <f>ROUND(SQRT(C23^3/$C$2),4)&amp;"Ⓟ"</f>
        <v>0.0012Ⓟ</v>
      </c>
      <c r="G23" s="14">
        <f>(2*E23)-1</f>
        <v>-1</v>
      </c>
    </row>
    <row r="24" spans="2:18">
      <c r="B24">
        <v>2</v>
      </c>
      <c r="C24" s="10">
        <v>1.7000000000000001E-2</v>
      </c>
      <c r="D24" s="10">
        <f>C24/C23</f>
        <v>1.4166666666666667</v>
      </c>
      <c r="E24" s="10">
        <f>C24-C23</f>
        <v>5.000000000000001E-3</v>
      </c>
      <c r="F24" s="12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>
        <v>3</v>
      </c>
      <c r="C25" s="10">
        <v>0.06</v>
      </c>
      <c r="D25" s="10">
        <f t="shared" ref="D25:D33" si="2">C25/C24</f>
        <v>3.5294117647058818</v>
      </c>
      <c r="E25" s="10">
        <f t="shared" ref="E25:E33" si="3">C25-C24</f>
        <v>4.2999999999999997E-2</v>
      </c>
      <c r="F25" s="12" t="str">
        <f t="shared" si="0"/>
        <v>0.0135Ⓟ</v>
      </c>
      <c r="G25" s="14">
        <f t="shared" si="1"/>
        <v>-0.91400000000000003</v>
      </c>
    </row>
    <row r="26" spans="2:18">
      <c r="B26">
        <v>4</v>
      </c>
      <c r="C26" s="10">
        <v>0.113</v>
      </c>
      <c r="D26" s="10">
        <f t="shared" si="2"/>
        <v>1.8833333333333335</v>
      </c>
      <c r="E26" s="10">
        <f t="shared" si="3"/>
        <v>5.3000000000000005E-2</v>
      </c>
      <c r="F26" s="12" t="str">
        <f t="shared" si="0"/>
        <v>0.035Ⓟ</v>
      </c>
      <c r="G26" s="14">
        <f t="shared" si="1"/>
        <v>-0.89400000000000002</v>
      </c>
      <c r="N26">
        <v>2</v>
      </c>
      <c r="O26">
        <v>3</v>
      </c>
      <c r="P26">
        <v>4</v>
      </c>
      <c r="Q26">
        <v>5</v>
      </c>
    </row>
    <row r="27" spans="2:18">
      <c r="B27">
        <v>5</v>
      </c>
      <c r="C27" s="10">
        <v>0.32900000000000001</v>
      </c>
      <c r="D27" s="10">
        <f t="shared" si="2"/>
        <v>2.9115044247787609</v>
      </c>
      <c r="E27" s="10">
        <f t="shared" si="3"/>
        <v>0.21600000000000003</v>
      </c>
      <c r="F27" s="12" t="str">
        <f t="shared" si="0"/>
        <v>0.1736Ⓟ</v>
      </c>
      <c r="G27" s="14">
        <f t="shared" si="1"/>
        <v>-0.56799999999999995</v>
      </c>
      <c r="M27">
        <v>1</v>
      </c>
      <c r="N27" t="str">
        <f>N$26&amp;":"&amp;$M27</f>
        <v>2:1</v>
      </c>
      <c r="O27" t="str">
        <f>O$26&amp;":"&amp;$M27</f>
        <v>3:1</v>
      </c>
      <c r="P27" t="str">
        <f>P$26&amp;":"&amp;$M27</f>
        <v>4:1</v>
      </c>
      <c r="Q27" t="str">
        <f>Q$26&amp;":"&amp;$M27</f>
        <v>5:1</v>
      </c>
    </row>
    <row r="28" spans="2:18">
      <c r="B28">
        <v>6</v>
      </c>
      <c r="C28" s="10">
        <v>0.46800000000000003</v>
      </c>
      <c r="D28" s="10">
        <f t="shared" si="2"/>
        <v>1.4224924012158056</v>
      </c>
      <c r="E28" s="10">
        <f t="shared" si="3"/>
        <v>0.13900000000000001</v>
      </c>
      <c r="F28" s="12" t="str">
        <f t="shared" si="0"/>
        <v>0.2946Ⓟ</v>
      </c>
      <c r="G28" s="14">
        <f t="shared" si="1"/>
        <v>-0.72199999999999998</v>
      </c>
      <c r="M28">
        <v>2</v>
      </c>
      <c r="O28" t="str">
        <f t="shared" ref="O28:Q29" si="4">O$26&amp;":"&amp;$M28</f>
        <v>3:2</v>
      </c>
      <c r="Q28" t="str">
        <f t="shared" si="4"/>
        <v>5:2</v>
      </c>
    </row>
    <row r="29" spans="2:18">
      <c r="B29">
        <v>7</v>
      </c>
      <c r="C29" s="10">
        <v>1.3725000000000001</v>
      </c>
      <c r="D29" s="10">
        <f t="shared" si="2"/>
        <v>2.9326923076923075</v>
      </c>
      <c r="E29" s="10">
        <f t="shared" si="3"/>
        <v>0.90450000000000008</v>
      </c>
      <c r="F29" s="12" t="str">
        <f t="shared" si="0"/>
        <v>1.4796Ⓟ</v>
      </c>
      <c r="M29">
        <v>3</v>
      </c>
      <c r="P29" t="str">
        <f t="shared" si="4"/>
        <v>4:3</v>
      </c>
      <c r="Q29" t="str">
        <f t="shared" si="4"/>
        <v>5:3</v>
      </c>
    </row>
    <row r="30" spans="2:18">
      <c r="B30">
        <v>8</v>
      </c>
      <c r="C30" s="10">
        <v>2.1440000000000001</v>
      </c>
      <c r="D30" s="10">
        <f t="shared" si="2"/>
        <v>1.5621129326047358</v>
      </c>
      <c r="E30" s="10">
        <f t="shared" si="3"/>
        <v>0.77150000000000007</v>
      </c>
      <c r="F30" s="12" t="str">
        <f t="shared" si="0"/>
        <v>2.8888Ⓟ</v>
      </c>
      <c r="H30" s="12">
        <f>SQRT(C30^3/$C$2)</f>
        <v>2.8887650608226996</v>
      </c>
    </row>
    <row r="31" spans="2:18">
      <c r="B31">
        <v>9</v>
      </c>
      <c r="C31" s="10">
        <v>4.4660000000000002</v>
      </c>
      <c r="D31" s="10">
        <f t="shared" si="2"/>
        <v>2.0830223880597014</v>
      </c>
      <c r="E31" s="10">
        <f t="shared" si="3"/>
        <v>2.3220000000000001</v>
      </c>
      <c r="F31" s="12" t="str">
        <f t="shared" si="0"/>
        <v>8.6847Ⓟ</v>
      </c>
      <c r="H31" s="12">
        <f>SQRT(C31^3/$C$2)</f>
        <v>8.6846661708770725</v>
      </c>
      <c r="I31">
        <f>H31/H30</f>
        <v>3.0063594608845561</v>
      </c>
    </row>
    <row r="32" spans="2:18">
      <c r="B32">
        <v>10</v>
      </c>
      <c r="C32" s="10">
        <v>9.4440000000000008</v>
      </c>
      <c r="D32" s="10">
        <f t="shared" si="2"/>
        <v>2.1146439767129421</v>
      </c>
      <c r="E32" s="10">
        <f t="shared" si="3"/>
        <v>4.9780000000000006</v>
      </c>
      <c r="F32" s="12" t="str">
        <f t="shared" si="0"/>
        <v>26.706Ⓟ</v>
      </c>
      <c r="L32" t="s">
        <v>100</v>
      </c>
      <c r="M32" s="15" t="s">
        <v>101</v>
      </c>
      <c r="N32" t="s">
        <v>99</v>
      </c>
      <c r="O32" s="15" t="s">
        <v>102</v>
      </c>
      <c r="P32" t="s">
        <v>99</v>
      </c>
      <c r="Q32" t="s">
        <v>100</v>
      </c>
      <c r="R32" t="str" cm="1">
        <f t="array" ref="R32">_xlfn.TEXTSPLIT(L32,":")</f>
        <v>ratio</v>
      </c>
    </row>
    <row r="33" spans="2:22">
      <c r="B33">
        <v>11</v>
      </c>
      <c r="C33" s="10">
        <v>19.073</v>
      </c>
      <c r="D33" s="10">
        <f t="shared" si="2"/>
        <v>2.0195891571368061</v>
      </c>
      <c r="E33" s="10">
        <f t="shared" si="3"/>
        <v>9.6289999999999996</v>
      </c>
      <c r="F33" s="12" t="str">
        <f t="shared" si="0"/>
        <v>76.6485Ⓟ</v>
      </c>
      <c r="L33" s="15" t="s">
        <v>97</v>
      </c>
      <c r="M33" s="15" t="s">
        <v>101</v>
      </c>
      <c r="N33">
        <v>1.333</v>
      </c>
      <c r="O33" s="15" t="s">
        <v>102</v>
      </c>
      <c r="P33">
        <v>1.333</v>
      </c>
      <c r="Q33" s="15" t="s">
        <v>97</v>
      </c>
      <c r="R33" s="11">
        <v>4</v>
      </c>
      <c r="S33" s="11">
        <v>3</v>
      </c>
      <c r="T33">
        <f>ABS(R33-S33)</f>
        <v>1</v>
      </c>
      <c r="U33">
        <f t="shared" ref="U33:U40" si="5">(ABS(R33-S33))/(R33+S33)</f>
        <v>0.14285714285714285</v>
      </c>
      <c r="V33" cm="1">
        <f t="array" ref="V33">RECIP(U33)</f>
        <v>7</v>
      </c>
    </row>
    <row r="34" spans="2:22">
      <c r="L34" s="15" t="s">
        <v>96</v>
      </c>
      <c r="M34" s="15" t="s">
        <v>101</v>
      </c>
      <c r="N34">
        <v>1.5</v>
      </c>
      <c r="O34" s="15" t="s">
        <v>102</v>
      </c>
      <c r="P34">
        <v>1.5</v>
      </c>
      <c r="Q34" s="15" t="s">
        <v>96</v>
      </c>
      <c r="R34" s="11">
        <v>3</v>
      </c>
      <c r="S34" s="11">
        <v>2</v>
      </c>
      <c r="T34">
        <f t="shared" ref="T34:T40" si="6">ABS(R34-S34)</f>
        <v>1</v>
      </c>
      <c r="U34">
        <f t="shared" si="5"/>
        <v>0.2</v>
      </c>
      <c r="V34" cm="1">
        <f t="array" ref="V34">RECIP(U34)</f>
        <v>5</v>
      </c>
    </row>
    <row r="35" spans="2:22">
      <c r="B35" s="13" t="s">
        <v>85</v>
      </c>
      <c r="C35" s="13" t="s">
        <v>84</v>
      </c>
      <c r="D35" s="13" t="s">
        <v>86</v>
      </c>
      <c r="E35" s="13" t="s">
        <v>91</v>
      </c>
      <c r="L35" s="15" t="s">
        <v>103</v>
      </c>
      <c r="M35" s="15" t="s">
        <v>101</v>
      </c>
      <c r="N35">
        <v>1.667</v>
      </c>
      <c r="O35" s="15" t="s">
        <v>102</v>
      </c>
      <c r="P35">
        <v>1.667</v>
      </c>
      <c r="Q35" s="15" t="s">
        <v>103</v>
      </c>
      <c r="R35" s="11">
        <v>5</v>
      </c>
      <c r="S35" s="11">
        <v>3</v>
      </c>
      <c r="T35">
        <f t="shared" si="6"/>
        <v>2</v>
      </c>
      <c r="U35">
        <f t="shared" si="5"/>
        <v>0.25</v>
      </c>
      <c r="V35" cm="1">
        <f t="array" ref="V35">RECIP(U35)</f>
        <v>4</v>
      </c>
    </row>
    <row r="36" spans="2:22">
      <c r="B36" s="8" t="s">
        <v>87</v>
      </c>
      <c r="C36" s="6">
        <v>1.0999999999999999E-2</v>
      </c>
      <c r="D36" s="11"/>
      <c r="L36" s="15" t="s">
        <v>93</v>
      </c>
      <c r="M36" s="15" t="s">
        <v>101</v>
      </c>
      <c r="N36">
        <v>2</v>
      </c>
      <c r="O36" s="15" t="s">
        <v>102</v>
      </c>
      <c r="P36">
        <v>2</v>
      </c>
      <c r="Q36" s="15" t="s">
        <v>93</v>
      </c>
      <c r="R36" s="11">
        <v>2</v>
      </c>
      <c r="S36" s="11">
        <v>1</v>
      </c>
      <c r="T36">
        <f t="shared" si="6"/>
        <v>1</v>
      </c>
      <c r="U36">
        <f t="shared" si="5"/>
        <v>0.33333333333333331</v>
      </c>
      <c r="V36" cm="1">
        <f t="array" ref="V36">RECIP(U36)</f>
        <v>3</v>
      </c>
    </row>
    <row r="37" spans="2:22">
      <c r="B37" s="9">
        <v>1</v>
      </c>
      <c r="C37" s="7">
        <v>1.2E-2</v>
      </c>
      <c r="D37" s="12" t="str">
        <f>ROUND(SQRT(C37^3/$C$2),4)&amp;"Ⓟ"</f>
        <v>0.0012Ⓟ</v>
      </c>
      <c r="E37" s="10">
        <f>(2*C37/$C$50)-1</f>
        <v>-0.98251366120218575</v>
      </c>
      <c r="L37" s="15" t="s">
        <v>98</v>
      </c>
      <c r="M37" s="15" t="s">
        <v>101</v>
      </c>
      <c r="N37">
        <v>2.5</v>
      </c>
      <c r="O37" s="15" t="s">
        <v>102</v>
      </c>
      <c r="P37">
        <v>2.5</v>
      </c>
      <c r="Q37" s="15" t="s">
        <v>98</v>
      </c>
      <c r="R37" s="11">
        <v>5</v>
      </c>
      <c r="S37" s="11">
        <v>2</v>
      </c>
      <c r="T37">
        <f t="shared" si="6"/>
        <v>3</v>
      </c>
      <c r="U37">
        <f t="shared" si="5"/>
        <v>0.42857142857142855</v>
      </c>
      <c r="V37" cm="1">
        <f t="array" ref="V37">RECIP(U37)</f>
        <v>2.3333333333333335</v>
      </c>
    </row>
    <row r="38" spans="2:22">
      <c r="B38" s="9">
        <v>2</v>
      </c>
      <c r="C38" s="7">
        <v>1.7000000000000001E-2</v>
      </c>
      <c r="D38" s="12" t="str">
        <f t="shared" ref="D38:D44" si="7">ROUND(SQRT(C38^3/$C$2),4)&amp;"Ⓟ"</f>
        <v>0.002Ⓟ</v>
      </c>
      <c r="E38" s="10">
        <f>(2*C38/$C$50)-1</f>
        <v>-0.97522768670309656</v>
      </c>
      <c r="L38" s="15" t="s">
        <v>92</v>
      </c>
      <c r="M38" s="15" t="s">
        <v>101</v>
      </c>
      <c r="N38">
        <v>3</v>
      </c>
      <c r="O38" s="15" t="s">
        <v>102</v>
      </c>
      <c r="P38">
        <v>3</v>
      </c>
      <c r="Q38" s="15" t="s">
        <v>92</v>
      </c>
      <c r="R38" s="11">
        <v>3</v>
      </c>
      <c r="S38" s="11">
        <v>1</v>
      </c>
      <c r="T38">
        <f t="shared" si="6"/>
        <v>2</v>
      </c>
      <c r="U38">
        <f t="shared" si="5"/>
        <v>0.5</v>
      </c>
      <c r="V38" cm="1">
        <f t="array" ref="V38">RECIP(U38)</f>
        <v>2</v>
      </c>
    </row>
    <row r="39" spans="2:22">
      <c r="B39" s="9">
        <v>3</v>
      </c>
      <c r="C39" s="7">
        <v>0.06</v>
      </c>
      <c r="D39" s="12" t="str">
        <f t="shared" si="7"/>
        <v>0.0135Ⓟ</v>
      </c>
      <c r="E39" s="10">
        <f>(2*C39/$C$50)-1</f>
        <v>-0.91256830601092898</v>
      </c>
      <c r="L39" s="15" t="s">
        <v>94</v>
      </c>
      <c r="M39" s="15" t="s">
        <v>101</v>
      </c>
      <c r="N39">
        <v>4</v>
      </c>
      <c r="O39" s="15" t="s">
        <v>102</v>
      </c>
      <c r="P39">
        <v>4</v>
      </c>
      <c r="Q39" s="15" t="s">
        <v>94</v>
      </c>
      <c r="R39" s="11">
        <v>4</v>
      </c>
      <c r="S39" s="11">
        <v>1</v>
      </c>
      <c r="T39">
        <f t="shared" si="6"/>
        <v>3</v>
      </c>
      <c r="U39">
        <f t="shared" si="5"/>
        <v>0.6</v>
      </c>
      <c r="V39" cm="1">
        <f t="array" ref="V39">RECIP(U39)</f>
        <v>1.6666666666666667</v>
      </c>
    </row>
    <row r="40" spans="2:22">
      <c r="B40" s="9">
        <v>4</v>
      </c>
      <c r="C40" s="7">
        <v>0.113</v>
      </c>
      <c r="D40" s="12" t="str">
        <f t="shared" si="7"/>
        <v>0.035Ⓟ</v>
      </c>
      <c r="E40" s="10">
        <f>(2*C40/$C$50)-1</f>
        <v>-0.8353369763205829</v>
      </c>
      <c r="L40" s="15" t="s">
        <v>95</v>
      </c>
      <c r="M40" s="15" t="s">
        <v>101</v>
      </c>
      <c r="N40">
        <v>5</v>
      </c>
      <c r="O40" s="15" t="s">
        <v>102</v>
      </c>
      <c r="P40">
        <v>5</v>
      </c>
      <c r="Q40" s="15" t="s">
        <v>95</v>
      </c>
      <c r="R40" s="11">
        <v>5</v>
      </c>
      <c r="S40" s="11">
        <v>1</v>
      </c>
      <c r="T40">
        <f t="shared" si="6"/>
        <v>4</v>
      </c>
      <c r="U40">
        <f t="shared" si="5"/>
        <v>0.66666666666666663</v>
      </c>
      <c r="V40" cm="1">
        <f t="array" ref="V40">RECIP(U40)</f>
        <v>1.5</v>
      </c>
    </row>
    <row r="41" spans="2:22">
      <c r="B41" s="8" t="s">
        <v>90</v>
      </c>
      <c r="C41" s="6">
        <v>0.30690000000000001</v>
      </c>
      <c r="D41" s="11"/>
      <c r="E41" s="10"/>
    </row>
    <row r="42" spans="2:22">
      <c r="B42" s="9">
        <v>5</v>
      </c>
      <c r="C42" s="7">
        <v>0.32900000000000001</v>
      </c>
      <c r="D42" s="12" t="str">
        <f t="shared" si="7"/>
        <v>0.1736Ⓟ</v>
      </c>
      <c r="E42" s="10">
        <f>(2*C42/$C$50)-1</f>
        <v>-0.52058287795992708</v>
      </c>
    </row>
    <row r="43" spans="2:22">
      <c r="B43" s="8" t="s">
        <v>89</v>
      </c>
      <c r="C43" s="6">
        <v>0.50119999999999998</v>
      </c>
      <c r="D43" s="11"/>
      <c r="E43" s="10"/>
    </row>
    <row r="44" spans="2:22">
      <c r="B44" s="9">
        <v>6</v>
      </c>
      <c r="C44" s="7">
        <v>0.46800000000000003</v>
      </c>
      <c r="D44" s="12" t="str">
        <f t="shared" si="7"/>
        <v>0.2946Ⓟ</v>
      </c>
      <c r="E44" s="10">
        <f>(2*C44/$C$50)-1</f>
        <v>-0.31803278688524594</v>
      </c>
    </row>
    <row r="45" spans="2:22">
      <c r="B45" s="8" t="s">
        <v>11</v>
      </c>
      <c r="C45" s="6">
        <v>0.68600000000000005</v>
      </c>
      <c r="D45" s="11"/>
    </row>
    <row r="46" spans="2:22">
      <c r="B46" s="8" t="s">
        <v>88</v>
      </c>
      <c r="C46" s="6">
        <v>0.97060000000000002</v>
      </c>
      <c r="D46" s="11"/>
    </row>
    <row r="47" spans="2:22">
      <c r="B47" s="8" t="s">
        <v>12</v>
      </c>
      <c r="C47" s="6">
        <v>1.0289999999999999</v>
      </c>
      <c r="D47" s="11"/>
      <c r="N47" t="s">
        <v>106</v>
      </c>
    </row>
    <row r="48" spans="2:22">
      <c r="B48" s="8" t="s">
        <v>17</v>
      </c>
      <c r="C48" s="6">
        <v>1.0570999999999999</v>
      </c>
      <c r="D48" s="12" t="str">
        <f t="shared" ref="D48" si="8">ROUND(SQRT(C48^3/$C$2),4)&amp;"Ⓟ"</f>
        <v>1.0001Ⓟ</v>
      </c>
      <c r="E48" s="10">
        <f>(2*C48/$C$50)-1</f>
        <v>0.5404007285974497</v>
      </c>
      <c r="I48" t="s">
        <v>106</v>
      </c>
      <c r="J48" t="s">
        <v>107</v>
      </c>
      <c r="M48" t="s">
        <v>104</v>
      </c>
      <c r="N48" s="14">
        <v>2.1440000000000001</v>
      </c>
    </row>
    <row r="49" spans="2:17">
      <c r="B49" s="8" t="s">
        <v>13</v>
      </c>
      <c r="C49" s="6">
        <v>1.304</v>
      </c>
      <c r="D49" s="11"/>
      <c r="H49" t="s">
        <v>104</v>
      </c>
      <c r="I49">
        <v>2.1440000000000001</v>
      </c>
      <c r="J49">
        <v>2.8887650608226996</v>
      </c>
      <c r="M49">
        <v>2.5</v>
      </c>
      <c r="N49" s="14">
        <v>2.4245178151425706</v>
      </c>
    </row>
    <row r="50" spans="2:17">
      <c r="B50" s="9" t="s">
        <v>10</v>
      </c>
      <c r="C50" s="7">
        <v>1.3725000000000001</v>
      </c>
      <c r="D50" s="12" t="str">
        <f t="shared" ref="D50" si="9">ROUND(SQRT(C50^3/$C$2),4)&amp;"Ⓟ"</f>
        <v>1.4796Ⓟ</v>
      </c>
      <c r="E50" s="10">
        <f>-0.26*C50/$C$50+1.26</f>
        <v>1</v>
      </c>
      <c r="H50" t="s">
        <v>105</v>
      </c>
      <c r="I50">
        <v>4.4660000000000002</v>
      </c>
      <c r="J50">
        <v>8.6846661708770725</v>
      </c>
      <c r="M50">
        <v>2</v>
      </c>
      <c r="N50" s="14">
        <v>2.8134037044152516</v>
      </c>
      <c r="O50" t="s">
        <v>108</v>
      </c>
      <c r="P50" s="14">
        <f>N50-0.035</f>
        <v>2.7784037044152514</v>
      </c>
      <c r="Q50" s="14">
        <f>N50+0.035</f>
        <v>2.8484037044152517</v>
      </c>
    </row>
    <row r="51" spans="2:17">
      <c r="B51" s="8" t="s">
        <v>14</v>
      </c>
      <c r="C51" s="6">
        <v>1.901</v>
      </c>
      <c r="D51" s="11"/>
      <c r="H51">
        <v>1.333</v>
      </c>
      <c r="I51">
        <v>3.687216335055207</v>
      </c>
      <c r="J51">
        <v>6.5151284102603695</v>
      </c>
      <c r="M51">
        <v>1.667</v>
      </c>
      <c r="N51" s="14">
        <v>3.1765935678784119</v>
      </c>
      <c r="O51" t="s">
        <v>108</v>
      </c>
      <c r="P51" s="14">
        <f>N51-0.015</f>
        <v>3.1615935678784117</v>
      </c>
      <c r="Q51" s="14">
        <f>N51+0.015</f>
        <v>3.191593567878412</v>
      </c>
    </row>
    <row r="52" spans="2:17">
      <c r="B52" s="9">
        <v>8</v>
      </c>
      <c r="C52" s="7">
        <v>2.1440000000000001</v>
      </c>
      <c r="D52" s="12" t="str">
        <f t="shared" ref="D52" si="10">ROUND(SQRT(C52^3/$C$2),4)&amp;"Ⓟ"</f>
        <v>2.8888Ⓟ</v>
      </c>
      <c r="E52" s="10">
        <f>-0.26*C52/$C$50+1.26</f>
        <v>0.85385063752276869</v>
      </c>
      <c r="H52">
        <v>1.5</v>
      </c>
      <c r="I52">
        <v>3.4081958714954532</v>
      </c>
      <c r="J52">
        <v>5.7897774472513817</v>
      </c>
      <c r="M52">
        <v>1.5</v>
      </c>
      <c r="N52" s="14">
        <v>3.4081958714954532</v>
      </c>
      <c r="O52" t="s">
        <v>109</v>
      </c>
    </row>
    <row r="53" spans="2:17">
      <c r="B53" s="8" t="s">
        <v>15</v>
      </c>
      <c r="C53" s="6">
        <v>2.4289999999999998</v>
      </c>
      <c r="D53" s="11"/>
      <c r="H53">
        <v>1.667</v>
      </c>
      <c r="I53">
        <v>3.1765935678784119</v>
      </c>
      <c r="J53">
        <v>5.2097577509760482</v>
      </c>
      <c r="M53">
        <v>1.333</v>
      </c>
      <c r="N53" s="14">
        <v>3.687216335055207</v>
      </c>
      <c r="O53" s="14">
        <f>N53-N49</f>
        <v>1.2626985199126364</v>
      </c>
      <c r="P53">
        <v>2.3220000000000001</v>
      </c>
      <c r="Q53">
        <f>O53/P53</f>
        <v>0.54379781219321122</v>
      </c>
    </row>
    <row r="54" spans="2:17">
      <c r="B54" s="9">
        <v>9</v>
      </c>
      <c r="C54" s="7">
        <v>4.4660000000000002</v>
      </c>
      <c r="D54" s="12" t="str">
        <f t="shared" ref="D54" si="11">ROUND(SQRT(C54^3/$C$2),4)&amp;"Ⓟ"</f>
        <v>8.6847Ⓟ</v>
      </c>
      <c r="E54" s="10">
        <f>-0.26*C54/$C$50+1.26</f>
        <v>0.41398178506375216</v>
      </c>
      <c r="H54">
        <v>2</v>
      </c>
      <c r="I54">
        <v>2.8134037044152516</v>
      </c>
      <c r="J54">
        <v>4.3423330854385362</v>
      </c>
      <c r="M54" t="s">
        <v>105</v>
      </c>
      <c r="N54" s="14">
        <v>4.4660000000000002</v>
      </c>
    </row>
    <row r="55" spans="2:17">
      <c r="B55" s="8" t="s">
        <v>16</v>
      </c>
      <c r="C55" s="6">
        <v>6.657</v>
      </c>
      <c r="D55" s="11"/>
      <c r="H55">
        <v>2.5</v>
      </c>
      <c r="I55">
        <v>2.4245178151425706</v>
      </c>
      <c r="J55">
        <v>3.4738664683508289</v>
      </c>
    </row>
    <row r="56" spans="2:17">
      <c r="B56" s="9">
        <v>10</v>
      </c>
      <c r="C56" s="7">
        <v>9.4440000000000008</v>
      </c>
      <c r="D56" s="12" t="str">
        <f t="shared" ref="D56:D57" si="12">ROUND(SQRT(C56^3/$C$2),4)&amp;"Ⓟ"</f>
        <v>26.706Ⓟ</v>
      </c>
      <c r="E56" s="10">
        <f>-0.26*C56/$C$50+1.26</f>
        <v>-0.52902732240437178</v>
      </c>
      <c r="H56">
        <v>3</v>
      </c>
      <c r="I56">
        <v>2.1470288603309622</v>
      </c>
      <c r="J56">
        <v>2.8948887236256908</v>
      </c>
    </row>
    <row r="57" spans="2:17">
      <c r="B57" s="9">
        <v>11</v>
      </c>
      <c r="C57" s="7">
        <v>19.073</v>
      </c>
      <c r="D57" s="12" t="str">
        <f t="shared" si="12"/>
        <v>76.6485Ⓟ</v>
      </c>
      <c r="E57" s="10">
        <f>-0.26*C57/$C$50+1.26</f>
        <v>-2.3531001821493627</v>
      </c>
      <c r="H57">
        <v>4</v>
      </c>
      <c r="I57">
        <v>1.7723332745224947</v>
      </c>
      <c r="J57">
        <v>2.1711665427192681</v>
      </c>
    </row>
    <row r="58" spans="2:17">
      <c r="H58">
        <v>5</v>
      </c>
      <c r="I58">
        <v>1.5273505155716258</v>
      </c>
      <c r="J58">
        <v>1.7369332341754145</v>
      </c>
    </row>
  </sheetData>
  <sortState xmlns:xlrd2="http://schemas.microsoft.com/office/spreadsheetml/2017/richdata2" ref="B36:C57">
    <sortCondition ref="C36:C5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FwAbgBBAFMAVABSAE8AXwBIAEEAQgBfAEkATgBEAEUAWAAgAD0AIABMAEEATQBCAEQAQQAoAG8AcgBiAGkAdABhAGwAXwBkAGkAcwB0ACwAIABbAG4AdQBjAGwAZQBhAGwAXwByAGEAZABpAHUAcwBdACwAIABbAHAAcgBlAGMAXQAsAFwAbgAgACAAIAAgAEwARQBUACgAXABuACAAIAAgACAAIAAgACAAIAByAG8AdQBuAGQAaQBuAGcAXwBwAHIAZQBjAGkAcwBpAG8AbgAsACAASQBGACgASQBTAE8ATQBJAFQAVABFAEQAKABwAHIAZQBjACkALAAgADMALAAgAHAAcgBlAGMAKQAsACAAIAAgACAAIAAgACAAIAAgACAAIAAgACAALwAqACAARABlAGYAYQB1AGwAdAAgAHQAbwAgADMAIABkAGUAYwBpAG0AYQBsAHMAIAAqAC8AXABuACAAIAAgACAAIAAgACAAIABuAHUAYwBsAGUAYQBsAF8AcgBhAGQAaQB1AHMALAAgAEkARgAoAEkAUwBPAE0ASQBUAFQARQBEACgAbgB1AGMAbABlAGEAbABfAHIAYQBkAGkAdQBzACkALAAgADEALAAgAG4AdQBjAGwAZQBhAGwAXwByAGEAZABpAHUAcwApACwAIAAvACoAIABEAGUAZgBhAHUAbAB0ACAAdABvACAAMQAgAEEAVQAgAGkAZgAgAG8AbQBpAHQAdABlAGQAIAAqAC8AXABuAFwAbgAgACAAIAAgACAAIAAgACAAaQBzAF8AaQBuAG4AZQByAF8AbwByAGIAaQB0ACwAIABJAEYAKABvAHIAYgBpAHQAYQBsAF8AZABpAHMAdAAgADwAIABuAHUAYwBsAGUAYQBsAF8AcgBhAGQAaQB1AHMALAAgAFQAUgBVAEUALAAgAEYAQQBMAFMARQApACwAIAAgAC8AKgAgAEQAZQB0AGUAcgBtAGkAbgBlACAAcABvAHMAaQB0AGkAbwBuACAAKgAvAFwAbgBcAG4AIAAgACAAIAAgACAAIAAgAGgAYQBiAGkAdABhAGIAaQBsAGkAdAB5AF8AaQBuAGQAZQB4ACwAIAAgACAAIAAgACAAIAAgACAAIAAgACAAIAAgACAAIAAgACAAIAAgACAAIAAgACAAIAAgACAAIAAgACAAIAAgACAAIAAgACAAIAAgACAAIAAgACAAIAAvACoAIABQAGkAZQBjAGUAdwBpAHMAZQAgAGYAdQBuAGMAdABpAG8AbgAgACoALwBcAG4AIAAgACAAIAAgACAAIAAgACAAIAAgACAASQBGACgAXABuACAAIAAgACAAIAAgACAAIAAgACAAIAAgACAAIAAgACAAaQBzAF8AaQBuAG4AZQByAF8AbwByAGIAaQB0ACwAXABuACAAIAAgACAAIAAgACAAIAAgACAAIAAgACAAIAAgACAAKAAyACAAKgAgAG8AcgBiAGkAdABhAGwAXwBkAGkAcwB0ACAALwAgAG4AdQBjAGwAZQBhAGwAXwByAGEAZABpAHUAcwApACAALQAgADEALAAgACAAIAAgACAAIAAgACAAIAAgACAAIAAgACAALwAqACAASQBuAHMAaQBkAGUAIABIAFoAIABtAG8AZABlAGwAIAAqAC8AXABuACAAIAAgACAAIAAgACAAIAAgACAAIAAgACAAIAAgACAAKABvAHIAYgBpAHQAYQBsAF8AZABpAHMAdAAgAC8AIAAoAC0AMwAuADgANQAgACoAIABuAHUAYwBsAGUAYQBsAF8AcgBhAGQAaQB1AHMAKQApACAAKwAgACgANAAuADgANQAgAC8AIAAzAC4AOAA1ACkAIAAgAC8AKgAgAE8AdQB0AHMAaQBkAGUAIABIAFoAIABtAG8AZABlAGwAIAAqAC8AXABuACAAIAAgACAAIAAgACAAIAAgACAAIAAgACkALABcAG4AXABuACAAIAAgACAAIAAgACAAIABmAGkAbgBhAGwAXwByAGUAcwB1AGwAdAAsACAAIAAgACAAIAAgACAAIAAgACAAIAAgACAAIAAgACAAIAAgACAAIAAgACAAIAAgACAAIAAgACAAIAAgACAAIAAgACAAIAAgACAAIAAgACAAIAAgACAAIAAgACAAIAAgACAALwAqACAASABhAG4AZABsAGUAIABpAG4AdgBhAGwAaQBkAC8AdgBhAGwAaQBkACAAYwBhAHMAZQBzACAAKgAvAFwAbgAgACAAIAAgACAAIAAgACAAIAAgACAAIABJAEYAKABoAGEAYgBpAHQAYQBiAGkAbABpAHQAeQBfAGkAbgBkAGUAeAAgADwAPQAgADAALAAgAFwAIgBVAC8ASQBcACIALAAgAFIATwBVAE4ARAAoAGgAYQBiAGkAdABhAGIAaQBsAGkAdAB5AF8AaQBuAGQAZQB4ACwAIAByAG8AdQBuAGQAaQBuAGcAXwBwAHIAZQBjAGkAcwBpAG8AbgApACkALABcAG4AXABuACAAIAAgACAAIAAgACAAIABmAGkAbgBhAGwAXwByAGUAcwB1AGwAdABcAG4AIAAgACAAIAApAFwAbgApADsAXABuAFwAbgAvACoAIABBAFMAVABSAE8AXwBTAFAARQBDAFQAUgBBAEwAXwBEAEkAUwBUAFIASQBCAFUAVABJAE8ATgBcAG4AIAAgACAALQAtAC0ALQAtAC0ALQAtAC0ALQAtAC0ALQAtAC0ALQAtAC0ALQAtAC0ALQAtAC0ALQAtAC0ALQAtAC0ALQAtAC0ALQAtAC0ALQAtAC0ALQAtAC0AXABuACAAIAAgAEQAaQBzAHQAcgBpAGIAdQB0AGUAcwAgAGEAIAB0AG8AdABhAGwAIABzAHQAZQBsAGwAYQByACAAcABvAHAAdQBsAGEAdABpAG8AbgAgAGEAYwByAG8AcwBzACAAdABoAGUAIABzAGUAdgBlAG4AIABwAHIAaQBtAGEAcgB5ACAAcwBwAGUAYwB0AHIAYQBsACAAYwBsAGEAcwBzAGUAcwBcAG4AIAAgACAAKABPACwAIABCACwAIABBACwAIABGACwAIABHACwAIABLACwAIABNACkAIABiAGEAcwBlAGQAIABvAG4AIABpAG4AdgBlAHIAcwBlACAAcABvAHAAdQBsAGEAdABpAG8AbgAgAGYAYQBjAHQAbwByAHMALgAgAFIAZQB0AHUAcgBuAHMAIABhACAAdAB3AG8ALQBjAG8AbAB1AG0AbgBcAG4AIAAgACAAYQByAHIAYQB5ACAAbwBmACAAYwBsAGEAcwBzACAAbABhAGIAZQBsAHMAIABhAG4AZAAgAGMAYQBsAGMAdQBsAGEAdABlAGQAIABzAHQAYQByACAAYwBvAHUAbgB0AHMALgBcAG4AXABuACAAIAAgAFMAeQBuAHQAYQB4ADoAXABuACAAIAAgACAAIABBAFMAVABSAE8AXwBTAFAARQBDAFQAUgBBAEwAXwBEAEkAUwBUAFIASQBCAFUAVABJAE8ATgAoAHQAbwB0AGEAbAAsACAAWwBwAHIAZQBjAGkAcwBpAG8AbgBdACkAXABuAFwAbgAgACAAIABQAGEAcgBhAG0AZQB0AGUAcgBzADoAXABuACAAIAAgACAAIAB0AG8AdABhAGwAIAAgACAAIAAgACAAOgAgAFQAbwB0AGEAbAAgAG4AdQBtAGIAZQByACAAbwBmACAAcwB0AGEAcgBzACAAdABvACAAYgBlACAAZABpAHMAdAByAGkAYgB1AHQAZQBkAC4AXABuACAAIAAgACAAIABwAHIAZQBjAGkAcwBpAG8AbgAgACAAOgAgAE8AcAB0AGkAbwBuAGEAbAAgACgAZABlAGYAYQB1AGwAdAAgAD0AIAAzACkALgAgAE4AdQBtAGIAZQByACAAbwBmACAAZABlAGMAaQBtAGEAbAAgAHAAbABhAGMAZQBzACAAdABvACAAcgBvAHUAbgBkACAAZQBhAGMAaAAgAGMAbwB1AG4AdAAuAFwAbgBcAG4AIAAgACAAUgBlAHQAdQByAG4AcwA6AFwAbgAgACAAIAAgACAAQQAgAHYAZQByAHQAaQBjAGEAbAAgAGEAcgByAGEAeQAgAHcAaQB0AGgAIAB0AHcAbwAgAGMAbwBsAHUAbQBuAHMAOgBcAG4AIAAgACAAIAAgACAAIAAtACAAQwBvAGwAdQBtAG4AIAAxADoAIABTAHAAZQBjAHQAcgBhAGwAIABjAGwAYQBzAHMAIABsAGEAYgBlAGwAcwAgACgAVABvAHQAYQBsACwAIABPACwAIABCACwAIABBACwAIABGACwAIABHACwAIABLACwAIABNACkAXABuACAAIAAgACAAIAAgACAALQAgAEMAbwBsAHUAbQBuACAAMgA6ACAATgB1AG0AYgBlAHIAIABvAGYAIABzAHQAYQByAHMAIABpAG4AIABlAGEAYwBoACAAYwBsAGEAcwBzACAAKAByAG8AdQBuAGQAZQBkACAAdABvACAAdABoAGUAIABzAHAAZQBjAGkAZgBpAGUAZAAgAHAAcgBlAGMAaQBzAGkAbwBuACkAXABuAFwAbgAgACAAIABFAHgAYQBtAHAAbABlAHMAOgBcAG4AIAAgACAAIAAgAEEAUwBUAFIATwBfAFMAUABFAEMAVABSAEEATABfAEQASQBTAFQAUgBJAEIAVQBUAEkATwBOACgAMQAwADAAMAApAFwAbgAgACAAIAAgACAAIAAgAJIhIAB7AFwAIgBUAG8AdABhAGwAXAAiACwAIABcACIATwBcACIALAAgAFwAIgBCAFwAIgAsACAAXAAiAEEAXAAiACwAIABcACIARgBcACIALAAgAFwAIgBHAFwAIgAsACAAXAAiAEsAXAAiACwAIABcACIATQBcACIAfQAgAHAAYQBpAHIAZQBkACAAdwBpAHQAaAAgAHsAMQAwADAAMAAsACAAMAAuADMAMwAzACwAIAAxAC4AMgA1ACwAIAAuAC4ALgB9AFwAbgBcAG4AIAAgACAAIAAgAEEAUwBUAFIATwBfAFMAUABFAEMAVABSAEEATABfAEQASQBTAFQAUgBJAEIAVQBUAEkATwBOACgANQAwADAAMAAsACAAMAApAFwAbgAgACAAIAAgACAAIAAgAJIhIAB7AFwAIgBUAG8AdABhAGwAXAAiACwAIABcACIATwBcACIALAAgAFwAIgBCAFwAIgAsACAAXAAiAEEAXAAiACwAIABcACIARgBcACIALAAgAFwAIgBHAFwAIgAsACAAXAAiAEsAXAAiACwAIABcACIATQBcACIAfQAgAHAAYQBpAHIAZQBkACAAdwBpAHQAaAAgAHIAbwB1AG4AZABlAGQAIABpAG4AdABlAGcAZQByAHMAXABuAFwAbgAgACAAIABOAG8AdABlAHMAOgBcAG4AIAAgACAAIAAgAC0AIABUAGgAZQAgAGQAaQBzAHQAcgBpAGIAdQB0AGkAbwBuACAAaQBzACAAYgBhAHMAZQBkACAAbwBuACAAaQBuAHYAZQByAHMAZQAgAHcAZQBpAGcAaAB0AGkAbgBnACAAZgBhAGMAdABvAHIAcwA6AFwAbgAgACAAIAAgACAAIAAgACAAIABPADoAIAAxAC8AMwAwADAAMAAwADAAMABcAG4AIAAgACAAIAAgACAAIAAgACAAQgA6ACAAMQAvADgAMAAwAFwAbgAgACAAIAAgACAAIAAgACAAIABBADoAIAAxAC8AMQA2ADAAXABuACAAIAAgACAAIAAgACAAIAAgAEYAOgAgADEALwAzADMAXABuACAAIAAgACAAIAAgACAAIAAgAEcAOgAgADEALwAxADMAXABuACAAIAAgACAAIAAgACAAIAAgAEsAOgAgADEALwA4AFwAbgAgACAAIAAgACAAIAAgACAAIABNADoAIAAxAC8AMQAuADMAMQA1ADMALgAuAC4AXABuACAAIAAgACAAIAAtACAAVABoAGUAcwBlACAAdgBhAGwAdQBlAHMAIABhAHAAcAByAG8AeABpAG0AYQB0AGUAIAByAGUAbABhAHQAaQB2AGUAIABmAHIAZQBxAHUAZQBuAGMAeQAgAGEAbgBkACAAYQBiAHUAbgBkAGEAbgBjAGUAIABvAGYAIABzAHQAYQByACAAdAB5AHAAZQBzAC4AXABuACAAIAAgACAAIAAtACAAXAAiAFQAbwB0AGEAbABcACIAIABpAHMAIABpAG4AYwBsAHUAZABlAGQAIABhAHMAIAB0AGgAZQAgAGYAaQByAHMAdAAgAHIAbwB3ACAAbwBmACAAdABoAGUAIABvAHUAdABwAHUAdAAgAGYAbwByACAAZQBhAHMAeQAgAHMAdQBtAG0AYQB0AGkAbwBuAC8AYQB1AGQAaQB0AC4AXABuACAAIAAgACAAIAAtACAASQBuAHQAZQBuAGQAZQBkACAAZgBvAHIAIAB1AHMAZQAgAGkAbgAgAG0AbwBkAGUAbABpAG4AZwAgAHMAdABhAHIAIABzAHkAcwB0AGUAbQAgAHAAbwBwAHUAbABhAHQAaQBvAG4AcwAsACAAZwBhAGwAYQB4AHkAIABzAGUAZQBkAGkAbgBnACwAIABvAHIAIAB0AGUAYQBjAGgAaQBuAGcAIAB0AGgAZQAgAGQAaQBzAHQAcgBpAGIAdQB0AGkAbwBuACAAbwBmACAAcwB0AGUAbABsAGEAcgAgAHQAeQBwAGUAcwAuAFwAbgAqAC8AXABuAFwAbg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BcAG4AIAAgACAAIAAgACAAIAAgAC8ALwAgAD0APQA9ACAAUwBwAGUAYwB0AHIAYQBsACAAYwBsAGEAcwBzACAAYQByAHIAYQB5ACAAYQBuAGQAIABiAGEAcwBlACAAZgByAGUAcQB1AGUAbgBjAGkAZQBzACAAKABlAG0AcABpAHIAaQBjAGEAbAApACAAPQA9AD0AXABuACAAIAAgACAAIAAgACAAIABhAHIAcgBfAGMAbABhAHMAcwBlAHMALAAgAHsAXAAiAE8AXAAiADsAIABcACIAQgBcACIAOwAgAFwAIgBBAFwAIgA7ACAAXAAiAEYAXAAiADsAIABcACIARwBcACIAOwAgAFwAIgBLAFwAIgA7ACAAXAAiAE0AXAAiAH0ALABcAG4AIAAgACAAIAAgACAAIAAgAGEAcgByAF8AYgBhAHMAZQBfAHAAYwB0ACwAIAB7ADAALgAwADAAMAAwADMAOwAgADAALgAxADMAOwAgADAALgA2ADsAIAAzAC4AMAA7ACAANwAuADYAOwAgADEAMgAuADEAOwAgADcANgAuADIANwB9ACwAXABuACAAIAAgACAAIAAgACAAIABhAHIAcgBfAGIAYQBzAGUAXwBmAHIAYQBjACwAIABCAFkAUgBPAFcAKABhAHIAcgBfAGIAYQBzAGUAXwBwAGMAdAAsACAATABBAE0AQgBEAEEAKAB4ACwAIAB4ACAALwAgADEAMAAwACkAKQAsAFwAbgBcAG4AIAAgACAAIAAgACAAIAAgAC8ALwAgAD0APQA9ACAATABvAG8AawB1AHAAIABzAGMAYQBsAGkAbgBnACAAZgBhAGMAdABvAHIAIABmAG8AcgAgAGEAIABzAHAAZQBjAGkAZgBpAGMAIABhAG4AYwBoAG8AcgAgAHQAeQBwAGUAXABuACAAIAAgACAAIAAgACAAIABhAG4AYwBoAG8AcgBfAGYAcgBlAHEALAAgAFgATABPAE8ASwBVAFAAKABhAG4AYwBoAG8AcgBfAGMAbABhAHMAcwAsACAAYQByAHIAXwBjAGwAYQBzAHMAZQBzACwAIABhAHIAcgBfAGIAYQBzAGUAXwBmAHIAYQBjACwAIAAxACkALABcAG4AIAAgACAAIAAgACAAIAAgAHMAYwBhAGwAaQBuAGcAXwBmAGEAYwB0AG8AcgAsACAAYQBuAGMAaABvAHIAXwBjAG8AdQBuAHQAIAAvACAAYQBuAGMAaABvAHIAXwBmAHIAZQBxACwAXABuAFwAbgAgACAAIAAgACAAIAAgACAALwAvACAAPQA9AD0AIABTAGMAYQBsAGUAZAAgAGQAaQBzAHQAcgBpAGIAdQB0AGkAbwBuACAAFCAgAG4AbwByAG0AYQBsAGkAegBlACAAbwByACAAYQBwAHAAbAB5ACAAdQBzAGUAcgAtAGQAZQBmAGkAbgBlAGQAIABzAGMAYQBsAGUAXABuACAAIAAgACAAIAAgACAAIABzAGMAYQBsAGUAZAAsACAASQBGACgAYQBuAGMAaABvAHIAXwBjAGwAYQBzAHMAIAA9ACAAXAAiACQAXAAiACwAIABhAHIAcgBfAGIAYQBzAGUAXwBmAHIAYQBjACwAIABCAFkAUgBPAFcAKABhAHIAcgBfAGIAYQBzAGUAXwBmAHIAYQBjACwAIABMAEEATQBCAEQAQQAoAHgALAAgAHgAIAAqACAAcwBjAGEAbABpAG4AZwBfAGYAYQBjAHQAbwByACkAKQApACwAXABuAFwAbgAgACAAIAAgACAAIAAgACAALwAvACAAPQA9AD0AIABGAGkAbgBhAGwAIABvAHUAdABwAHUAdABcAG4AIAAgACAAIAAgACAAIAAgAG8AdQB0AHAAdQB0ACwAIABIAFMAVABBAEMASwAoAGEAcgByAF8AYwBsAGEAcwBzAGUAcwAsACAAUgBPAFUATgBEACgAcwBjAGEAbABlAGQALAAgAGQAZQBjAGkAbQBhAGwAXwBwAGwAYQBjAGUAcwApACkALABcAG4AIAAgACAAIAAgACAAIAAgAG8AdQB0AHAAdQB0AFwAbgAgACAAIAAgACkAXABuACkAOwBcAG4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XABuAFwAbgBBAFMAVABSAE8AXwBDAEEATABDAF8AVABFAE0AUAAgAD0AIABMAEEATQBCAEQAQQAoAHMAdQBiAGMAbABhAHMAcwAsAFwAbgAgACAATABFAFQAKABcAG4AIAAgACAAIAAvAC8AIAAtAC0ALQAgAEgAYQByAGQAYwBvAGQAZQBkACAAcwBwAGUAYwB0AHIAYQBsACAAcwB1AGIAYwBsAGEAcwBzACAAYQByAHIAYQB5AHMAIAAtAC0ALQBcAG4AXABuACAAIAAgACAAYQByAHIAVAB5AHAAZQBzACwAIAB7AFwAbgAgACAAIAAgACAAIABcACIATwAzAFwAIgA7ACAAXAAiAE8ANABcACIAOwAgAFwAIgBPADUAXAAiADsAIABcACIATwA2AFwAIgA7ACAAXAAiAE8ANwBcACIAOwAgAFwAIgBPADgAXAAiADsAIABcACIATwA5AFwAIgA7AFwAbgAgACAAIAAgACAAIABcACIAQgAwAFwAIgA7ACAAXAAiAEIAMQBcACIAOwAgAFwAIgBCADIAXAAiADsAIABcACIAQgAzAFwAIgA7ACAAXAAiAEIANABcACIAOwAgAFwAIgBCADUAXAAiADsAIABcACIAQgA2AFwAIgA7ACAAXAAiAEIANwBcACIAOwAgAFwAIgBCADgAXAAiADsAIABcACIAQgA5AFwAIgA7AFwAbgAgACAAIAAgACAAIABcACIAQQAwAFwAIgA7ACAAXAAiAEEAMQBcACIAOwAgAFwAIgBBADIAXAAiADsAIABcACIAQQAzAFwAIgA7ACAAXAAiAEEANABcACIAOwAgAFwAIgBBADUAXAAiADsAIABcACIAQQA2AFwAIgA7ACAAXAAiAEEANwBcACIAOwAgAFwAIgBBADgAXAAiADsAIABcACIAQQA5AFwAIgA7AFwAbgAgACAAIAAgACAAIABcACIARgAwAFwAIgA7ACAAXAAiAEYAMQBcACIAOwAgAFwAIgBGADIAXAAiADsAIABcACIARgAzAFwAIgA7ACAAXAAiAEYANABcACIAOwAgAFwAIgBGADUAXAAiADsAIABcACIARgA2AFwAIgA7ACAAXAAiAEYANwBcACIAOwAgAFwAIgBGADgAXAAiADsAIABcACIARgA5AFwAIgA7AFwAbgAgACAAIAAgACAAIABcACIARwAwAFwAIgA7ACAAXAAiAEcAMQBcACIAOwAgAFwAIgBHADIAXAAiADsAIABcACIARwAzAFwAIgA7ACAAXAAiAEcANABcACIAOwAgAFwAIgBHADUAXAAiADsAIABcACIARwA2AFwAIgA7ACAAXAAiAEcANwBcACIAOwAgAFwAIgBHADgAXAAiADsAIABcACIARwA5AFwAIgA7AFwAbgAgACAAIAAgACAAIABcACIASwAwAFwAIgA7ACAAXAAiAEsAMQBcACIAOwAgAFwAIgBLADIAXAAiADsAIABcACIASwAzAFwAIgA7ACAAXAAiAEsANABcACIAOwAgAFwAIgBLADUAXAAiADsAIABcACIASwA2AFwAIgA7ACAAXAAiAEsANwBcACIAOwAgAFwAIgBLADgAXAAiADsAIABcACIASwA5AFwAIgA7AFwAbgAgACAAIAAgACAAIABcACIATQAwAFwAIgA7ACAAXAAiAE0AMQBcACIAOwAgAFwAIgBNADIAXAAiADsAIABcACIATQAzAFwAIgA7ACAAXAAiAE0ANABcACIAOwAgAFwAIgBNADUAXAAiADsAIABcACIATQA2AFwAIgA7ACAAXAAiAE0ANwBcACIAOwAgAFwAIgBNADgAXAAiADsAIABcACIATQA5AFwAIgBcAG4AIAAgACAAIAB9ACwAXABuAFwAbgAgACAAIAAgAC8ALwAgAEgAaQBnAGgAIABlAGYAZgBlAGMAdABpAHYAZQAgAHQAZQBtAHAAZQByAGEAdAB1AHIAZQBzACAAKABLACkAIABmAG8AcgAgAGUAYQBjAGgAIABzAHUAYgBjAGwAYQBzAHMAXABuACAAIAAgACAAYQByAHIAVABIAGkAZwBoACwAIAB7AFwAbgAgACAAIAAgACAAIAA0ADQAOQAwADAAOwAgADQAMgA5ADAAMAA7ACAANAAxADQAMAAwADsAIAAzADkANQAwADAAOwAgADMANwAxADAAMAA7ACAAMwA1ADEAMAAwADsAIAAzADMAMwAwADAAOwBcAG4AIAAgACAAIAAgACAAMwAxADQAMAAwADsAIAAyADYAMAAwADAAOwAgADIAMAA2ADAAMAA7ACAAMQA3ADAAMAAwADsAIAAxADYANAAwADAAOwAgADEANQA3ADAAMAA7ACAAMQA0ADUAMAAwADsAIAAxADQAMAAwADAAOwAgADEAMgAzADAAMAA7ACAAMQAwADcAMAAwADsAXABuACAAIAAgACAAIAAgADkANwAwADAAOwAgADkAMwAwADAAOwAgADgAOAAwADAAOwAgADgANgAwADAAOwAgADgAMgA1ADAAOwAgADgAMQAwADAAOwAgADcAOQAxADAAOwAgADcANwA2ADAAOwAgADcANQA5ADAAOwAgADcANAAwADAAOwBcAG4AIAAgACAAIAAgACAANwAyADIAMAA7ACAANwAwADIAMAA7ACAANgA4ADIAMAA7ACAANgA3ADUAMAA7ACAANgA2ADcAMAA7ACAANgA1ADUAMAA7ACAANgAzADUAMAA7ACAANgAyADgAMAA7ACAANgAxADgAMAA7AFwAbgAgACAAIAAgACAAIAA2ADAANQAwADsAIAA1ADkAMwAwADsAIAA1ADgANgAwADsAIAA1ADcANwAwADsAIAA1ADcAMgAwADsAIAA1ADYAOAAwADsAIAA1ADYANgAwADsAIAA1ADYAMAAwADsAIAA1ADUANQAwADsAIAA1ADQAOAAwADsAXABuACAAIAAgACAAIAAgADUAMwA4ADAAOwAgADUAMgA3ADAAOwAgADUAMQA3ADAAOwAgADUAMQAwADAAOwAgADQAOAAzADAAOwAgADQANgAwADAAOwAgADQANAA0ADAAOwAgADQAMwAwADAAOwAgADQAMQAwADAAOwAgADMAOQA5ADAAOwBcAG4AIAAgACAAIAAgACAAMwA5ADMAMAA7ACAAMwA4ADUAMAA7ACAAMwA2ADYAMAA7ACAAMwA1ADYAMAA7ACAAMwA0ADMAMAA7ACAAMwAyADEAMAA7ACAAMwAwADYAMAA7ACAAMgA4ADEAMAA7ACAAMgA2ADgAMAA7ACAAMgA1ADcAMAA7ACAAMgAzADgAMABcAG4AIAAgACAAIAB9ACwAXABuAFwAbgAgACAAIAAgAC8ALwAgAFQAZQBtAHAAZQByAGEAdAB1AHIAZQAgAHMAcABhAG4AIAB0AG8AIAB0AGgAZQAgAG4AZQB4AHQAIABzAHUAYgBjAGwAYQBzAHMAIAAoAEsAKQBcAG4AIAAgACAAIABhAHIAcgBTAHAAYQBuACwAIAB7AFwAbgAgACAAIAAgACAAIAAyADAAMAAwADsAIAAxADUAMAAwADsAIAAxADkAMAAwADsAIAAyADQAMAAwADsAIAAyADAAMAAwADsAIAAxADgAMAAwADsAIAAxADkAMAAwADsAXABuACAAIAAgACAAIAAgADUANAAwADAAOwAgADUANAAwADAAOwAgADMANgAwADAAOwAgADYAMAAwADsAIAA3ADAAMAA7ACAAMQAyADAAMAA7ACAANQAwADAAOwAgADEANwAwADAAOwAgADEANgAwADAAOwAgADEAMAAwADAAOwBcAG4AIAAgACAAIAAgACAANAAwADAAOwAgADUAMAAwADsAIAAyADAAMAA7ACAAMwA1ADAAOwAgADEANQAwADsAIAAxADkAMAA7ACAAMQA1ADAAOwAgADEANwAwADsAIAAxADkAMAA7ACAAMQA4ADAAOwBcAG4AIAAgACAAIAAgACAAMgAwADAAOwAgADIAMAAwADsAIAA3ADAAOwAgADgAMAA7ACAAMQAyADAAOwAgADIAMAAwADsAIAA3ADAAOwAgADEAMAAwADsAIAAxADMAMAA7AFwAbgAgACAAIAAgACAAIAAxADIAMAA7ACAANwAwADsAIAA5ADAAOwAgADUAMAA7ACAANAAwADsAIAAyADAAOwAgADYAMAA7ACAANQAwADsAIAA3ADAAOwAgADEAMAAwADsAXABuACAAIAAgACAAIAAgADEAMQAwADsAIAAxADAAMAA7ACAANwAwADsAIAAyADcAMAA7ACAAMgAzADAAOwAgADEANgAwADsAIAAxADQAMAA7ACAAMgAwADAAOwAgADEAMQAwADsAIAA2ADAAOwBcAG4AIAAgACAAIAAgACAAOAAwADsAIAAxADkAMAA7ACAAMQAwADAAOwAgADEAMwAwADsAIAAyADIAMAA7ACAAMQA1ADAAOwAgADIANQAwADsAIAAxADMAMAA7ACAAMQAxADAAOwAgADEAOQAwADsAIAAyADgAMABcAG4AIAAgACAAIAB9ACwAXABuAFwAbgAgACAAIAAgAC8ALwAgAEIAdQBuAGQAbABlACAAaQBuAHQAbwAgAGEAIABzAGkAbgBnAGwAZQAgAG0AYQB0AHIAaQB4ACAAZgBvAHIAIABjAGwAZQBhAG4AIABsAG8AbwBrAHUAcABcAG4AIAAgACAAIABtAHQAeABTAHQAYQByAHMALAAgAEgAUwBUAEEAQwBLACgAYQByAHIAVAB5AHAAZQBzACwAIABhAHIAcgBUAEgAaQBnAGgALAAgAGEAcgByAFMAcABhAG4AKQAsAFwAbgBcAG4AIAAgACAAIAAvAC8AIAAtAC0ALQAgAEkAbgBwAHUAdAAgAG4AbwByAG0AYQBsAGkAegBhAHQAaQBvAG4AIABhAG4AZAAgAHAAYQByAHMAaQBuAGcAIAAtAC0ALQBcAG4AXABuACAAIAAgACAAbgBvAF8AcwBwAGEAYwBlACwAIABTAFUAQgBTAFQASQBUAFUAVABFACgAcwB1AGIAYwBsAGEAcwBzACwAIABcACIAIABcACIALAAgAFwAIgBcACIAKQAsACAAIAAgACAAIAAgACAAIAAgACAAIAAgACAAIAAgACAAIAAgAC8ALwAgAFQAcgBpAG0AIAB3AGgAaQB0AGUAcwBwAGEAYwBlAFwAbgAgACAAIAAgAGQAbwB0AF8AcABvAHMALAAgAEYASQBOAEQAKABcACIALgBcACIALAAgAG4AbwBfAHMAcABhAGMAZQAgACYAIABcACIALgAwAFwAIgApACwAIAAgACAAIAAgACAAIAAgACAAIAAgACAAIAAgACAAIAAgACAAIAAgACAAIAAvAC8AIABFAG4AcwB1AHIAZQAgAGYAcgBhAGMAdABpAG8AbgBhAGwAIABwAGEAcgB0ACAAaQBzACAAZABlAHQAZQBjAHQAZQBkACAAZQB2AGUAbgAgAGYAbwByACAAdwBoAG8AbABlACAAcwB1AGIAYwBsAGEAcwBzAGUAcwBcAG4AIAAgACAAIABiAGEAcwBlACwAIABMAEUARgBUACgAbgBvAF8AcwBwAGEAYwBlACwAIABkAG8AdABfAHAAbwBzACAALQAgADEAKQAsACAAIAAgACAAIAAgACAAIAAgACAAIAAgACAAIAAgACAAIAAgACAAIAAgACAAIAAgAC8ALwAgAEUAeAB0AHIAYQBjAHQAIAByAG8AbwB0ACAAcwB1AGIAYwBsAGEAcwBzACwAIABlAC4AZwAuACwAIABcACIARwA3AFwAIgAgAGYAcgBvAG0AIABcACIARwA3AC4AMwBcACIAXABuACAAIAAgACAAZgAsACAAVgBBAEwAVQBFACgAXAAiADAALgBcACIAIAAmACAATQBJAEQAKABuAG8AXwBzAHAAYQBjAGUALAAgAGQAbwB0AF8AcABvAHMAIAArACAAMQAsACAATABFAE4AKABuAG8AXwBzAHAAYQBjAGUAKQApACkALAAgAC8ALwAgAEMAbwBuAHYAZQByAHQAIABkAGUAYwBpAG0AYQBsACAAcwB0AHIAaQBuAGcAIAB0AG8AIABuAHUAbQBlAHIAaQBjACAAKABlAC4AZwAuACwAIAAwAC4AMwApAFwAbgBcAG4AIAAgACAAIAAvAC8AIAAtAC0ALQAgAEwAbwBvAGsAdQBwACAAaABpAGcAaAAgAHQAZQBtAHAAIABhAG4AZAAgAHMAcABhAG4AIABmAHIAbwBtACAAbQBhAHQAcgBpAHgAIAAtAC0ALQBcAG4AXABuACAAIAAgACAAVABfAGgAaQBnAGgALAAgAFgATABPAE8ASwBVAFAAKABiAGEAcwBlACwAIABJAE4ARABFAFgAKABtAHQAeABTAHQAYQByAHMALAAsADEAKQAsACAASQBOAEQARQBYACgAbQB0AHgAUwB0AGEAcgBzACwALAAyACkAKQAsACAALwAvACAAZQAuAGcALgAgADUANQA1ADAAIABmAG8AcgAgAFwAIgBHADcAXAAiAFwAbgAgACAAIAAgAHMAcABhAG4ALAAgACAAIABYAEwATwBPAEsAVQBQACgAYgBhAHMAZQAsACAASQBOAEQARQBYACgAbQB0AHgAUwB0AGEAcgBzACwALAAxACkALAAgAEkATgBEAEUAWAAoAG0AdAB4AFMAdABhAHIAcwAsACwAMwApACkALAAgAC8ALwAgAGUALgBnAC4AIAA3ADAAIABmAG8AcgAgAFwAIgBHADcAXAAiAFwAbgBcAG4AIAAgACAAIAAvAC8AIAAtAC0ALQAgAEkAbgB0AGUAcgBwAG8AbABhAHQAaQBvAG4AOgAgAFQAIAA9ACAAVABfAGgAaQBnAGgAIAAtACAAZgAgACoAIABzAHAAYQBuACAALQAtAC0AXABuAFwAbgAgACAAIAAgAHIAZQBzAHUAbAB0ACwAIABUAF8AaABpAGcAaAAgAC0AIAAoAGYAIAAqACAAcwBwAGEAbgApACwAXABuAFwAbgAgACAAIAAgAHIAZQBzAHUAbAB0AFwAbgAgACAAKQBcAG4AKQA7AFwAbgBcAG4ALwAqACAAQQBTAFQAUgBPAF8AVABZAFAARQBfAEYAUgBPAE0AXwBUAEUATQBQADoAXABuACAAIAAgAFAAdQByAHAAbwBzAGUAOgAgAFIAZQB0AHUAcgBuAHMAIAB0AGgAZQAgAGkAbgB0AGUAcgBwAG8AbABhAHQAZQBkACAAcwB0AGUAbABsAGEAcgAgAHMAcABlAGMAdAByAGEAbAAgAHMAdQBiAGMAbABhAHMAcwAgACgAZQAuAGcALgAgAFwAIgBHADcALgAzAFwAIgApACAAZgBvAHIAIABhACAAZwBpAHYAZQBuACAAZQBmAGYAZQBjAHQAaQB2AGUAIAB0AGUAbQBwAGUAcgBhAHQAdQByAGUAIABpAG4AIABLAGUAbAB2AGkAbgAuAFwAbgBcAG4AIAAgACAAUgBlAHQAdQByAG4AcwA6ACAAQQAgAHMAdAByAGkAbgBnACAAcgBlAHAAcgBlAHMAZQBuAHQAaQBuAGcAIAB0AGgAZQAgAGUAcwB0AGkAbQBhAHQAZQBkACAAcwBwAGUAYwB0AHIAYQBsACAAcwB1AGIAYwBsAGEAcwBzACwAIABvAHAAdABpAG8AbgBhAGwAbAB5ACAAdwBpAHQAaAAgAGQAZQBjAGkAbQBhAGwAIABwAHIAZQBjAGkAcwBpAG8AbgAuAFwAbgBcAG4AIAAgACAAUABhAHIAYQBtAGUAdABlAHIAcwA6AFwAbgAgACAAIAAtACAAdABlAG0AcAAgACgAcgBlAHEAdQBpAHIAZQBkACkAOgAgAEEAIABuAHUAbQBlAHIAaQBjACAAdABlAG0AcABlAHIAYQB0AHUAcgBlACAAaQBuACAASwBlAGwAdgBpAG4ALgBcAG4AIAAgACAALQAgAGQAZQBjAGkAbQBhAGwAcwAgACgAbwBwAHQAaQBvAG4AYQBsACkAOgAgAE4AdQBtAGIAZQByACAAbwBmACAAZABlAGMAaQBtAGEAbAAgAHAAbABhAGMAZQBzACAAdABvACAAaQBuAGMAbAB1AGQAZQAgAGkAbgAgAHQAaABlACAAcwB1AGIAYwBsAGEAcwBzACAAKABkAGUAZgBhAHUAbAB0ACAAPQAgADMAKQAuAFwAbgBcAG4AIAAgACAATgBvAHQAZQBzADoAXABuACAAIAAgAC0AIABUAGgAZQAgAGYAdQBuAGMAdABpAG8AbgAgAG0AYQB0AGMAaABlAHMAIAB0AGgAZQAgAHQAZQBtAHAAZQByAGEAdAB1AHIAZQAgAHQAbwAgAHQAaABlACAAYwBvAHIAcgBlAGMAdAAgAHMAcABlAGMAdAByAGEAbAAgAHMAdQBiAGMAbABhAHMAcwAgAHIAYQBuAGcAZQAgAGIAeQAgAGMAaABlAGMAawBpAG4AZwAgAHcAaABpAGMAaAAgAGgAaQBnAGgALQB0AGUAbQBwACAAYgBhAG4AZAAgAGkAdAAgAGYAYQBsAGwAcwAgAHcAaQB0AGgAaQBuAC4AXABuACAAIAAgAC0AIABJAHQAIAB0AGgAZQBuACAAbABpAG4AZQBhAHIAbAB5ACAAaQBuAHQAZQByAHAAbwBsAGEAdABlAHMAIAB0AGgAZQAgAGQAZQBjAGkAbQBhAGwAIABwAG8AcgB0AGkAbwBuACAAbwBmACAAdABoAGUAIABzAHUAYgBjAGwAYQBzAHMAIAB1AHMAaQBuAGcAOgBcAG4AIAAgACAAIAAgACAAIABmAHIAYQBjAHQAaQBvAG4AYQBsACAAPQAgACgAVABfAGgAaQBnAGgAIAAtACAAdABlAG0AcAApACAALwAgAHMAcABhAG4AXABuACAAIAAgAC0AIABVAHMAZQBzACAAaABhAHIAZABjAG8AZABlAGQAIAB0AGUAbQBwAGUAcgBhAHQAdQByAGUAIABhAG4AYwBoAG8AcgBzACAAYQBuAGQAIABzAHAAYQBuAHMAIABhAGMAcgBvAHMAcwAgAHMAcABlAGMAdAByAGEAbAAgAHQAeQBwAGUAcwAgAE8AMwATIE0AOQAuAFwAbgAgACAAIAAtACAAUwB1AHAAcABvAHIAdABzACAAaABpAGcAaAAgAHAAcgBlAGMAaQBzAGkAbwBuACAAYQBuAGQAIABuAG8AcgBtAGEAbABpAHoAYQB0AGkAbwBuACAAZgBvAHIAIABmAHIAYQBjAHQAaQBvAG4AYQBsACAAcwB1AGIAYwBsAGEAcwBzAGUAcwAgAGwAaQBrAGUAIABcACIASwA0AC4AMwA3ADYAXAAiAC4AXABuAFwAbgAgACAAIABFAHgAYQBtAHAAbABlADoAXABuACAAIAAgAEEAUwBUAFIATwBfAFQAWQBQAEUAXwBGAFIATwBNAF8AVABFAE0AUAAoADQAMgAzADAAMAApACAAIAAgAJIhIABcACIATwA0AC4ANAAwADAAXAAiAFwAbgAgACAAIABBAFMAVABSAE8AXwBUAFkAUABFAF8ARgBSAE8ATQBfAFQARQBNAFAAKAA1ADUAMgA5ACkAIAAgACAAIACSISAAXAAiAEcANwAuADMAMAAwAFwAIgBcAG4AIAAgACAAQQBTAFQAUgBPAF8AVABZAFAARQBfAEYAUgBPAE0AXwBUAEUATQBQACgANgAxADIAMQAuADUAKQAgACAAkiEgAFwAIgBGADgALgA0ADUAMABcACIAXABuACAAIAAgAEEAUwBUAFIATwBfAFQAWQBQAEUAXwBGAFIATwBNAF8AVABFAE0AUAAoADIANAA1ADYALAAgADEAKQAgAJIhIABcACIATQA4AC4ANgBcACIAXABuAFwAbgAgACAAIABEAGUAcABlAG4AZABlAG4AYwBpAGUAcwA6AFwAbgAgACAAIAAtACAAVQBzAGUAcwAgAFgATQBBAFQAQwBIACAAKwAgAE0AQQBQACAAZgBvAHIAIABsAG8AZwBpAGMAYQBsACAAcgBhAG4AZwBlACAAZABlAHQAZQBjAHQAaQBvAG4ALgBcAG4AIAAgACAALQAgAEEAcwBzAHUAbQBlAHMAIAB0AGUAbQBwAGUAcgBhAHQAdQByAGUAIABkAGUAYwByAGUAYQBzAGUAcwAgAG0AbwBuAG8AdABvAG4AaQBjAGEAbABsAHkAIABhAGMAcgBvAHMAcwAgAHMAdQBiAGMAbABhAHMAcwAgAHMAZQBxAHUAZQBuAGMAZQAuAFwAbgAqAC8AXABuAFwAbgBcAG4AQQBTAFQAUgBPAF8AVABZAFAARQBfAEYAUgBPAE0AXwBUAEUATQBQACAAPQAgAEwAQQBNAEIARABBACgAdABlAG0AcAAsACAAWwBkAGUAYwBpAG0AYQBsAHMAXQAsAFwAbgAgACAATABFAFQAKABcAG4AIAAgACAAIAAvAC8AIAAtAC0ALQAgAEgAYQByAGQAYwBvAGQAZQBkACAAcwBwAGUAYwB0AHIAYQBsACAAcwB1AGIAYwBsAGEAcwBzACAAZABhAHQAYQAgAC0ALQAtAFwAbgAgACAAIAAgAGEAcgByAFQAeQBwAGUAcwAsACAAewBcAG4AIAAgACAAIAAgACAAXAAiAE8AMwBcACIAOwAgAFwAIgBPADQAXAAiADsAIABcACIATwA1AFwAIgA7ACAAXAAiAE8ANgBcACIAOwAgAFwAIgBPADcAXAAiADsAIABcACIATwA4AFwAIgA7ACAAXAAiAE8AOQBcACIAOwBcAG4AIAAgACAAIAAgACAAXAAiAEIAMABcACIAOwAgAFwAIgBCADEAXAAiADsAIABcACIAQgAyAFwAIgA7ACAAXAAiAEIAMwBcACIAOwAgAFwAIgBCADQAXAAiADsAIABcACIAQgA1AFwAIgA7ACAAXAAiAEIANgBcACIAOwAgAFwAIgBCADcAXAAiADsAIABcACIAQgA4AFwAIgA7ACAAXAAiAEIAOQBcACIAOwBcAG4AIAAgACAAIAAgACAAXAAiAEEAMABcACIAOwAgAFwAIgBBADEAXAAiADsAIABcACIAQQAyAFwAIgA7ACAAXAAiAEEAMwBcACIAOwAgAFwAIgBBADQAXAAiADsAIABcACIAQQA1AFwAIgA7ACAAXAAiAEEANgBcACIAOwAgAFwAIgBBADcAXAAiADsAIABcACIAQQA4AFwAIgA7ACAAXAAiAEEAOQBcACIAOwBcAG4AIAAgACAAIAAgACAAXAAiAEYAMABcACIAOwAgAFwAIgBGADEAXAAiADsAIABcACIARgAyAFwAIgA7ACAAXAAiAEYAMwBcACIAOwAgAFwAIgBGADQAXAAiADsAIABcACIARgA1AFwAIgA7ACAAXAAiAEYANgBcACIAOwAgAFwAIgBGADcAXAAiADsAIABcACIARgA4AFwAIgA7ACAAXAAiAEYAOQBcACIAOwBcAG4AIAAgACAAIAAgACAAXAAiAEcAMABcACIAOwAgAFwAIgBHADEAXAAiADsAIABcACIARwAyAFwAIgA7ACAAXAAiAEcAMwBcACIAOwAgAFwAIgBHADQAXAAiADsAIABcACIARwA1AFwAIgA7ACAAXAAiAEcANgBcACIAOwAgAFwAIgBHADcAXAAiADsAIABcACIARwA4AFwAIgA7ACAAXAAiAEcAOQBcACIAOwBcAG4AIAAgACAAIAAgACAAXAAiAEsAMABcACIAOwAgAFwAIgBLADEAXAAiADsAIABcACIASwAyAFwAIgA7ACAAXAAiAEsAMwBcACIAOwAgAFwAIgBLADQAXAAiADsAIABcACIASwA1AFwAIgA7ACAAXAAiAEsANgBcACIAOwAgAFwAIgBLADcAXAAiADsAIABcACIASwA4AFwAIgA7ACAAXAAiAEsAOQBcACIAOwBcAG4AIAAgACAAIAAgACAAXAAiAE0AMABcACIAOwAgAFwAIgBNADEAXAAiADsAIABcACIATQAyAFwAIgA7ACAAXAAiAE0AMwBcACIAOwAgAFwAIgBNADQAXAAiADsAIABcACIATQA1AFwAIgA7ACAAXAAiAE0ANgBcACIAOwAgAFwAIgBNADcAXAAiADsAIABcACIATQA4AFwAIgA7ACAAXAAiAE0AOQBcACIAXABuACAAIAAgACAAfQAsAFwAbgBcAG4AIAAgACAAIABhAHIAcgBUAEgAaQBnAGgALAAgAHsAXABuACAAIAAgACAAIAAgADQANAA5ADAAMAA7ACAANAAyADkAMAAwADsAIAA0ADEANAAwADAAOwAgADMAOQA1ADAAMAA7ACAAMwA3ADEAMAAwADsAIAAzADUAMQAwADAAOwAgADMAMwAzADAAMAA7AFwAbgAgACAAIAAgACAAIAAzADEANAAwADAAOwAgADIANgAwADAAMAA7ACAAMgAwADYAMAAwADsAIAAxADcAMAAwADAAOwAgADEANgA0ADAAMAA7ACAAMQA1ADcAMAAwADsAIAAxADQANQAwADAAOwAgADEANAAwADAAMAA7ACAAMQAyADMAMAAwADsAIAAxADAANwAwADAAOwBcAG4AIAAgACAAIAAgACAAOQA3ADAAMAA7ACAAOQAzADAAMAA7ACAAOAA4ADAAMAA7ACAAOAA2ADAAMAA7ACAAOAAyADUAMAA7ACAAOAAxADAAMAA7ACAANwA5ADEAMAA7ACAANwA3ADYAMAA7ACAANwA1ADkAMAA7ACAANwA0ADAAMAA7AFwAbgAgACAAIAAgACAAIAA3ADIAMgAwADsAIAA3ADAAMgAwADsAIAA2ADgAMgAwADsAIAA2ADcANQAwADsAIAA2ADYANwAwADsAIAA2ADUANQAwADsAIAA2ADMANQAwADsAIAA2ADIAOAAwADsAIAA2ADEAOAAwADsAXABuACAAIAAgACAAIAAgADYAMAA1ADAAOwAgADUAOQAzADAAOwAgADUAOAA2ADAAOwAgADUANwA3ADAAOwAgADUANwAyADAAOwAgADUANgA4ADAAOwAgADUANgA2ADAAOwAgADUANgAwADAAOwAgADUANQA1ADAAOwAgADUANAA4ADAAOwBcAG4AIAAgACAAIAAgACAANQAzADgAMAA7ACAANQAyADcAMAA7ACAANQAxADcAMAA7ACAANQAxADAAMAA7ACAANAA4ADMAMAA7ACAANAA2ADAAMAA7ACAANAA0ADQAMAA7ACAANAAzADAAMAA7ACAANAAxADAAMAA7ACAAMwA5ADkAMAA7AFwAbgAgACAAIAAgACAAIAAzADkAMwAwADsAIAAzADgANQAwADsAIAAzADYANgAwADsAIAAzADUANgAwADsAIAAzADQAMwAwADsAIAAzADIAMQAwADsAIAAzADAANgAwADsAIAAyADgAMQAwADsAIAAyADYAOAAwADsAIAAyADUANwAwADsAIAAyADMAOAAwAFwAbgAgACAAIAAgAH0ALABcAG4AXABuACAAIAAgACAAYQByAHIAUwBwAGEAbgAsACAAewBcAG4AIAAgACAAIAAgACAAMgAwADAAMAA7ACAAMQA1ADAAMAA7ACAAMQA5ADAAMAA7ACAAMgA0ADAAMAA7ACAAMgAwADAAMAA7ACAAMQA4ADAAMAA7ACAAMQA5ADAAMAA7AFwAbgAgACAAIAAgACAAIAA1ADQAMAAwADsAIAA1ADQAMAAwADsAIAAzADYAMAAwADsAIAA2ADAAMAA7ACAANwAwADAAOwAgADEAMgAwADAAOwAgADUAMAAwADsAIAAxADcAMAAwADsAIAAxADYAMAAwADsAIAAxADAAMAAwADsAXABuACAAIAAgACAAIAAgADQAMAAwADsAIAA1ADAAMAA7ACAAMgAwADAAOwAgADMANQAwADsAIAAxADUAMAA7ACAAMQA5ADAAOwAgADEANQAwADsAIAAxADcAMAA7ACAAMQA5ADAAOwAgADEAOAAwADsAXABuACAAIAAgACAAIAAgADIAMAAwADsAIAAyADAAMAA7ACAANwAwADsAIAA4ADAAOwAgADEAMgAwADsAIAAyADAAMAA7ACAANwAwADsAIAAxADAAMAA7ACAAMQAzADAAOwBcAG4AIAAgACAAIAAgACAAMQAyADAAOwAgADcAMAA7ACAAOQAwADsAIAA1ADAAOwAgADQAMAA7ACAAMgAwADsAIAA2ADAAOwAgADUAMAA7ACAANwAwADsAIAAxADAAMAA7AFwAbgAgACAAIAAgACAAIAAxADEAMAA7ACAAMQAwADAAOwAgADcAMAA7ACAAMgA3ADAAOwAgADIAMwAwADsAIAAxADYAMAA7ACAAMQA0ADAAOwAgADIAMAAwADsAIAAxADEAMAA7ACAANgAwADsAXABuACAAIAAgACAAIAAgADgAMAA7ACAAMQA5ADAAOwAgADEAMAAwADsAIAAxADMAMAA7ACAAMgAyADAAOwAgADEANQAwADsAIAAyADUAMAA7ACAAMQAzADAAOwAgADEAMQAwADsAIAAxADkAMAA7ACAAMgA4ADAAXABuACAAIAAgACAAfQAsAFwAbgBcAG4AIAAgACAAIAAvAC8AIAAtAC0ALQAgAEQAZQB0AGUAcgBtAGkAbgBlACAAbQBhAHQAYwBoACAAaQBuAGQAZQB4ACAALQAtAC0AXABuACAAIAAgACAAdABlAG0AcABfAGkAbgBfAHIAYQBuAGcAZQAsAFwAbgAgACAAIAAgACAAIABNAEEAUAAoAFMARQBRAFUARQBOAEMARQAoAFIATwBXAFMAKABhAHIAcgBUAEgAaQBnAGgAKQApACwAXABuACAAIAAgACAAIAAgACAAIABMAEEATQBCAEQAQQAoAGkALABcAG4AIAAgACAAIAAgACAAIAAgACAAIABBAE4ARAAoAFwAbgAgACAAIAAgACAAIAAgACAAIAAgACAAIABJAE4ARABFAFgAKABhAHIAcgBUAEgAaQBnAGgALAAgAGkAKQAgAD4APQAgAHQAZQBtAHAALABcAG4AIAAgACAAIAAgACAAIAAgACAAIAAgACAAdABlAG0AcAAgAD4AIABJAE4ARABFAFgAKABhAHIAcgBUAEgAaQBnAGgALAAgAGkAKQAgAC0AIABJAE4ARABFAFgAKABhAHIAcgBTAHAAYQBuACwAIABpACkAXABuACAAIAAgACAAIAAgACAAIAAgACAAKQBcAG4AIAAgACAAIAAgACAAIAAgACkAXABuACAAIAAgACAAIAAgACkALABcAG4AIAAgACAAIABpAGQAeAAsACAAWABNAEEAVABDAEgAKABUAFIAVQBFACwAIAB0AGUAbQBwAF8AaQBuAF8AcgBhAG4AZwBlACkALABcAG4AXABuACAAIAAgACAALwAvACAALQAtAC0AIABMAG8AbwBrAHUAcAAgAHQAeQBwAGUAIABhAG4AZAAgAGMAbwBtAHAAdQB0AGUAIABmAHIAYQBjAHQAaQBvAG4AIAAtAC0ALQBcAG4AIAAgACAAIABmAHUAbABsAF8AdAB5AHAAZQAsACAASQBOAEQARQBYACgAYQByAHIAVAB5AHAAZQBzACwAIABpAGQAeAApACwAXABuACAAIAAgACAAVABfAGgAaQBnAGgALAAgAEkATgBEAEUAWAAoAGEAcgByAFQASABpAGcAaAAsACAAaQBkAHgAKQAsAFwAbgAgACAAIAAgAHMAcABhAG4ALAAgAEkATgBEAEUAWAAoAGEAcgByAFMAcABhAG4ALAAgAGkAZAB4ACkALABcAG4AIAAgACAAIABmACwAIAAoAFQAXwBoAGkAZwBoACAALQAgAHQAZQBtAHAAKQAgAC8AIABzAHAAYQBuACwAXABuAFwAbgAgACAAIAAgAC8ALwAgAC0ALQAtACAARgBvAHIAbQBhAHQAIABmAHIAYQBjAHQAaQBvAG4AYQBsACAAcABhAHIAdAAgAC0ALQAtAFwAbgAgACAAIAAgAGQAZQBjACwAIABJAEYAKABJAFMATwBNAEkAVABUAEUARAAoAGQAZQBjAGkAbQBhAGwAcwApACwAIAAzACwAIABkAGUAYwBpAG0AYQBsAHMAKQAsAFwAbgAgACAAIAAgAGYAbwByAG0AYQB0AF8AcwB0AHIAaQBuAGcALAAgAFwAIgAuAFwAIgAgACYAIABSAEUAUABUACgAXAAiADAAXAAiACwAIABkAGUAYwApACwAXABuACAAIAAgACAAcwB1AGIAYwBsAGEAcwBzACwAIABmAHUAbABsAF8AdAB5AHAAZQAgACYAIABUAEUAWABUACgAZgAsACAAZgBvAHIAbQBhAHQAXwBzAHQAcgBpAG4AZwApACwAXABuAFwAbgAgACAAIAAgAHMAdQBiAGMAbABhAHMAcwBcAG4AIAAgACkAXABuACkAOwBcAG4AXABuAFwAbgAvACoAIABBAFMAVABSAE8AXwBEAEkAUwBQAEwAQQBZAF8AUwBQAEUAQwBUAFIAQQBMADoAXABuACAAIAAgAFAAdQByAHAAbwBzAGUAOgAgAEQAaQBzAHAAbABhAHkAcwAgAHMAcABlAGMAdAByAGEAbAAgAHMAdQBiAGMAbABhAHMAcwAgAHQAZQBtAHAAZQByAGEAdAB1AHIAZQAgAGEAbgBkACAAcwBwAGEAbgAgAGQAYQB0AGEAIABhAGMAcgBvAHMAcwAgAHMAdABlAGwAbABhAHIAIABjAGwAYQBzAHMAaQBmAGkAYwBhAHQAaQBvAG4AcwAuAFwAbgAgACAAIAAgACAAIAAgACAAIAAgACAAIABDAGEAbgAgAHIAZQB0AHUAcgBuACAAZQBpAHQAaABlAHIAIAB0AGgAZQAgAGYAdQBsAGwAIABzAHAAZQBjAHQAcgBhAGwAIABtAGEAdAByAGkAeAAgACgATwAzABMgTQA5ACkAIABvAHIAIABhACAAZgBpAGwAdABlAHIAZQBkACAAdAB3AG8ALQBjAG8AbAB1AG0AbgAgAHYAaQBlAHcALgBcAG4AXABuACAAIAAgAFIAZQB0AHUAcgBuAHMAOgAgAFwAbgAgACAAIAAtACAASQBmACAAdAB5AHAAZQAgAGkAcwAgAG8AbQBpAHQAdABlAGQAOgAgAFcAaQBkAGUAIABtAGEAdAByAGkAeAAgAG8AZgAgAHMAcABlAGMAdAByAGEAbAAgAGMAbABhAHMAcwBlAHMAIAAoAE8AIAB0AG8AIABNACkALAAgADEAMAAgAHMAdQBiAGMAbABhAHMAcwBlAHMAIABlAGEAYwBoAFwAbgAgACAAIAAtACAASQBmACAAdAB5AHAAZQAgAGkAcwAgAHAAcgBvAHYAaQBkAGUAZAA6ACAAVAB3AG8ALQBjAG8AbAB1AG0AbgAgAHQAYQBiAGwAZQAgAHcAaQB0AGgAIABUAGUAbQBwAGUAcgBhAHQAdQByAGUAIABhAG4AZAAgAFMAcABhAG4AIABmAG8AcgAgAHQAaABlACAAcgBlAHEAdQBlAHMAdABlAGQAIABjAGwAYQBzAHMAXABuAFwAbgAgACAAIABQAGEAcgBhAG0AZQB0AGUAcgBzADoAXABuACAAIAAgAC0AIAB0AHkAcABlACAAKABvAHAAdABpAG8AbgBhAGwAKQA6ACAATwBuAGUAIABvAGYAIAB7AFwAIgBPAFwAIgAsAFwAIgBCAFwAIgAsAFwAIgBBAFwAIgAsAFwAIgBGAFwAIgAsAFwAIgBHAFwAIgAsAFwAIgBLAFwAIgAsAFwAIgBNAFwAIgB9ACAAdABvACAAbABpAG0AaQB0ACAAbwB1AHQAcAB1AHQAIAB0AG8AIAB0AGgAYQB0ACAAcwBwAGUAYwB0AHIAYQBsACAAZwByAG8AdQBwAFwAbgBcAG4AIAAgACAATgBvAHQAZQBzADoAXABuACAAIAAgAC0AIABUAGUAbQBwAGUAcgBhAHQAdQByAGUAcwAgAGEAcgBlACAAaABpAGcAaAAtAGUAbgBkACAAdgBhAGwAdQBlAHMAIABmAG8AcgAgAGUAYQBjAGgAIABzAHUAYgBjAGwAYQBzAHMAIAAoAHIAZQBhAGwALQB3AG8AcgBsAGQAIABpAG4AcwBwAGkAcgBlAGQALAAgAHMAbQBvAG8AdABoAGUAZAAgAGQAYQB0AGEAKQAuAFwAbgAgACAAIAAtACAAUwBwAGEAbgAgAGkAcwAgAHQAaABlACAASwBlAGwAdgBpAG4AIABkAGkAZgBmAGUAcgBlAG4AYwBlACAAYgBlAHQAdwBlAGUAbgAgAGEAIABzAHUAYgBjAGwAYQBzAHMAIABhAG4AZAAgAHQAaABlACAAbgBlAHgAdAAgAGMAbwBvAGwAZQByACAAbwBuAGUALgBcAG4AIAAgACAALQAgAEkAZgAgAG4AbwAgAHQAeQBwAGUAIABpAHMAIABzAHAAZQBjAGkAZgBpAGUAZAAsACAAbwB1AHQAcAB1AHQAIABpAHMAIABvAHIAZwBhAG4AaQB6AGUAZAAgAGEAcwAgAGEAIAB2AGkAcwB1AGEAbAAgAHIAZQBmAGUAcgBlAG4AYwBlACAAdABhAGIAbABlAC4AXABuACAAIAAgAC0AIABVAHMAZQBzACAAVgBTAFQAQQBDAEsAIABhAG4AZAAgAEgAUwBUAEEAQwBLACAAaQBuAHQAZQByAG4AYQBsAGwAeQAgAGYAbwByACAAYwBsAGUAYQBuACAAcwB0AHIAdQBjAHQAdQByAGUAOwAgAHIAZQBwAGwAYQBjAGUAcwAgAHAAcgBlAHYAaQBvAHUAcwAgAHMAZQBwAGEAcgBhAHQAZQBkACAAdgBlAHIAcwBpAG8AbgBzAC4AXABuACAAIAAgAC0AIABUAGgAaQBzACAAZgB1AG4AYwB0AGkAbwBuACAAcwB1AHAAZQByAHMAZQBkAGUAcwA6ACAAQQBTAFQAUgBPAF8ARABJAFMAUABMAEEAWQBfAEIAQQBTAEUAXwBEAEEAVABBACwAIABfAFMARQBQAEEAUgBBAFQARQBEACwAIABhAG4AZAAgAF8AQgBZAF8AVABZAFAARQAuAFwAbgBcAG4AIAAgACAARQB4AGEAbQBwAGwAZQA6AFwAbgAgACAAIABBAFMAVABSAE8AXwBEAEkAUwBQAEwAQQBZAF8AUwBQAEUAQwBUAFIAQQBMACgAKQAgACAAIAAgACAAIAAgACAAkiEgAFIAZQB0AHUAcgBuAHMAIABmAHUAbABsACAATwAzABMgTQA5ACAAcwB1AGIAYwBsAGEAcwBzACAAYwBoAGEAcgB0AFwAbgAgACAAIABBAFMAVABSAE8AXwBEAEkAUwBQAEwAQQBZAF8AUwBQAEUAQwBUAFIAQQBMACgAXAAiAEcAXAAiACkAIAAgACAAIAAgAJIhIABSAGUAdAB1AHIAbgBzACAAdABlAG0AcABlAHIAYQB0AHUAcgBlACAAYQBuAGQAIABzAHAAYQBuACAAZgBvAHIAIABHADAAEyBHADkAXABuACAAIAAgAEEAUwBUAFIATwBfAEQASQBTAFAATABBAFkAXwBTAFAARQBDAFQAUgBBAEwAKABcACIARgBcACIAKQAgACAAIAAgACAAkiEgAEYAMAATIEYAOQAgAGMAbABhAHMAcwBpAGYAaQBjAGEAdABpAG8AbgAgAG0AZQB0AHIAaQBjAHMAXABuACoALwBcAG4AXABuAEEAUwBUAFIATwBfAEQASQBTAFAATABBAFkAXwBTAFAARQBDAFQAUgBBAEwAIAA9ACAATABBAE0AQgBEAEEAKABbAHQAeQBwAGUAXQAsAFwAbgAgACAATABFAFQAKABcAG4AIAAgACAAIAAvAC8AIAAtAC0ALQAgAEQAZQBmAGkAbgBlACAAcwBwAGUAYwB0AHIAYQBsACAAdAB5AHAAZQBzACAAYQBuAGQAIABiAHUAaQBsAGQAIABoAGUAbABwAGUAcgBzACAALQAtAC0AXABuACAAIAAgACAAVAB5AHAAZQBzACwAIAB7AFwAIgBPAFwAIgA7AFwAIgBCAFwAIgA7AFwAIgBBAFwAIgA7AFwAIgBGAFwAIgA7AFwAIgBHAFwAIgA7AFwAIgBLAFwAIgA7AFwAIgBNAFwAIgB9ACwAXABuACAAIAAgACAASABlAGEAZABlAHIAcwAsACAAVABSAEEATgBTAFAATwBTAEUAKABWAFMAVABBAEMASwAoAFwAIgAgAFwAIgAsACAAVAB5AHAAZQBzACkAKQAsAFwAbgAgACAAIAAgAEYAaQBuAGQAQwBvAGwALAAgAE0AQQBLAEUAQQBSAFIAQQBZACgAQwBPAFUATgBUAEEAKABUAHkAcABlAHMAKQAsACAAMgAsACAATABBAE0AQgBEAEEAKAByACwAIABjACwAIABJAEYAKABjACAAPQAgADEALAAgAEkATgBEAEUAWAAoAFQAeQBwAGUAcwAsACAAcgApACwAIAByACkAKQApACwAXABuAFwAbgAgACAAIAAgAC8ALwAgAC0ALQAtACAAUgBhAHcAIABzAHQAYQByACAAcwB1AGIAYwBsAGEAcwBzACAAZABhAHQAYQAgAC0ALQAtAFwAbgAgACAAIAAgAGEAcgByAFQAeQBwAGUAcwAsACAAewBcAG4AIAAgACAAIAAgACAAXAAiAE8AXAAiADsAIABcACIATwBcACIAOwAgAFwAIgBPAFwAIgA7ACAAXAAiAE8AMwBcACIAOwAgAFwAIgBPADQAXAAiADsAIABcACIATwA1AFwAIgA7ACAAXAAiAE8ANgBcACIAOwAgAFwAIgBPADcAXAAiADsAIABcACIATwA4AFwAIgA7ACAAXAAiAE8AOQBcACIAOwBcAG4AIAAgACAAIAAgACAAXAAiAEIAMABcACIAOwAgAFwAIgBCADEAXAAiADsAIABcACIAQgAyAFwAIgA7ACAAXAAiAEIAMwBcACIAOwAgAFwAIgBCADQAXAAiADsAIABcACIAQgA1AFwAIgA7ACAAXAAiAEIANgBcACIAOwAgAFwAIgBCADcAXAAiADsAIABcACIAQgA4AFwAIgA7ACAAXAAiAEIAOQBcACIAOwBcAG4AIAAgACAAIAAgACAAXAAiAEEAMABcACIAOwAgAFwAIgBBADEAXAAiADsAIABcACIAQQAyAFwAIgA7ACAAXAAiAEEAMwBcACIAOwAgAFwAIgBBADQAXAAiADsAIABcACIAQQA1AFwAIgA7ACAAXAAiAEEANgBcACIAOwAgAFwAIgBBADcAXAAiADsAIABcACIAQQA4AFwAIgA7ACAAXAAiAEEAOQBcACIAOwBcAG4AIAAgACAAIAAgACAAXAAiAEYAMABcACIAOwAgAFwAIgBGADEAXAAiADsAIABcACIARgAyAFwAIgA7ACAAXAAiAEYAMwBcACIAOwAgAFwAIgBGADQAXAAiADsAIABcACIARgA1AFwAIgA7ACAAXAAiAEYANgBcACIAOwAgAFwAIgBGADcAXAAiADsAIABcACIARgA4AFwAIgA7ACAAXAAiAEYAOQBcACIAOwBcAG4AIAAgACAAIAAgACAAXAAiAEcAMABcACIAOwAgAFwAIgBHADEAXAAiADsAIABcACIARwAyAFwAIgA7ACAAXAAiAEcAMwBcACIAOwAgAFwAIgBHADQAXAAiADsAIABcACIARwA1AFwAIgA7ACAAXAAiAEcANgBcACIAOwAgAFwAIgBHADcAXAAiADsAIABcACIARwA4AFwAIgA7ACAAXAAiAEcAOQBcACIAOwBcAG4AIAAgACAAIAAgACAAXAAiAEsAMABcACIAOwAgAFwAIgBLADEAXAAiADsAIABcACIASwAyAFwAIgA7ACAAXAAiAEsAMwBcACIAOwAgAFwAIgBLADQAXAAiADsAIABcACIASwA1AFwAIgA7ACAAXAAiAEsANgBcACIAOwAgAFwAIgBLADcAXAAiADsAIABcACIASwA4AFwAIgA7ACAAXAAiAEsAOQBcACIAOwBcAG4AIAAgACAAIAAgACAAXAAiAE0AMABcACIAOwAgAFwAIgBNADEAXAAiADsAIABcACIATQAyAFwAIgA7ACAAXAAiAE0AMwBcACIAOwAgAFwAIgBNADQAXAAiADsAIABcACIATQA1AFwAIgA7ACAAXAAiAE0ANgBcACIAOwAgAFwAIgBNADcAXAAiADsAIABcACIATQA4AFwAIgA7ACAAXAAiAE0AOQBcACIAXABuACAAIAAgACAAfQAsAFwAbgBcAG4AIAAgACAAIABhAHIAcgBUAEgAaQBnAGgALAAgAHsAXABuACAAIAAgACAAIAAgAFwAIgBcACIAOwAgAFwAIgBcACIAOwAgAFwAIgBcACIAOwAgADQANAA5ADAAMAA7ACAANAAyADkAMAAwADsAIAA0ADEANAAwADAAOwAgADMAOQA1ADAAMAA7ACAAMwA3ADEAMAAwADsAIAAzADUAMQAwADAAOwAgADMAMwAzADAAMAA7AFwAbgAgACAAIAAgACAAIAAzADEANAAwADAAOwAgADIANgAwADAAMAA7ACAAMgAwADYAMAAwADsAIAAxADcAMAAwADAAOwAgADEANgA0ADAAMAA7ACAAMQA1ADcAMAAwADsAIAAxADQANQAwADAAOwAgADEANAAwADAAMAA7ACAAMQAyADMAMAAwADsAIAAxADAANwAwADAAOwBcAG4AIAAgACAAIAAgACAAOQA3ADAAMAA7ACAAOQAzADAAMAA7ACAAOAA4ADAAMAA7ACAAOAA2ADAAMAA7ACAAOAAyADUAMAA7ACAAOAAxADAAMAA7ACAANwA5ADEAMAA7ACAANwA3ADYAMAA7ACAANwA1ADkAMAA7ACAANwA0ADAAMAA7AFwAbgAgACAAIAAgACAAIAA3ADIAMgAwADsAIAA3ADAAMgAwADsAIAA2ADgAMgAwADsAIAA2ADcANQAwADsAIAA2ADYANwAwADsAIAA2ADUANQAwADsAIAA2ADMANQAwADsAIAA2ADIAOAAwADsAIAA2ADEAOAAwADsAXABuACAAIAAgACAAIAAgADYAMAA1ADAAOwAgADUAOQAzADAAOwAgADUAOAA2ADAAOwAgADUANwA3ADAAOwAgADUANwAyADAAOwAgADUANgA4ADAAOwAgADUANgA2ADAAOwAgADUANgAwADAAOwAgADUANQA1ADAAOwAgADUANAA4ADAAOwBcAG4AIAAgACAAIAAgACAANQAzADgAMAA7ACAANQAyADcAMAA7ACAANQAxADcAMAA7ACAANQAxADAAMAA7ACAANAA4ADMAMAA7ACAANAA2ADAAMAA7ACAANAA0ADQAMAA7ACAANAAzADAAMAA7ACAANAAxADAAMAA7ACAAMwA5ADkAMAA7AFwAbgAgACAAIAAgACAAIAAzADkAMwAwADsAIAAzADgANQAwADsAIAAzADYANgAwADsAIAAzADUANgAwADsAIAAzADQAMwAwADsAIAAzADIAMQAwADsAIAAzADAANgAwADsAIAAyADgAMQAwADsAIAAyADYAOAAwADsAIAAyADUANwAwADsAIAAyADMAOAAwAFwAbgAgACAAIAAgAH0ALABcAG4AXABuACAAIAAgACAAYQByAHIAUwBwAGEAbgAsACAAewBcAG4AIAAgACAAIAAgACAAXAAiAFwAIgA7ACAAXAAiAFwAIgA7ACAAXAAiAFwAIgA7ACAAMgAwADAAMAA7ACAAMQA1ADAAMAA7ACAAMQA5ADAAMAA7ACAAMgA0ADAAMAA7ACAAMgAwADAAMAA7ACAAMQA4ADAAMAA7ACAAMQA5ADAAMAA7AFwAbgAgACAAIAAgACAAIAA1ADQAMAAwADsAIAA1ADQAMAAwADsAIAAzADYAMAAwADsAIAA2ADAAMAA7ACAANwAwADAAOwAgADEAMgAwADAAOwAgADUAMAAwADsAIAAxADcAMAAwADsAIAAxADYAMAAwADsAIAAxADAAMAAwADsAXABuACAAIAAgACAAIAAgADQAMAAwADsAIAA1ADAAMAA7ACAAMgAwADAAOwAgADMANQAwADsAIAAxADUAMAA7ACAAMQA5ADAAOwAgADEANQAwADsAIAAxADcAMAA7ACAAMQA5ADAAOwAgADEAOAAwADsAXABuACAAIAAgACAAIAAgADIAMAAwADsAIAAyADAAMAA7ACAANwAwADsAIAA4ADAAOwAgADEAMgAwADsAIAAyADAAMAA7ACAANwAwADsAIAAxADAAMAA7ACAAMQAzADAAOwBcAG4AIAAgACAAIAAgACAAMQAyADAAOwAgADcAMAA7ACAAOQAwADsAIAA1ADAAOwAgADQAMAA7ACAAMgAwADsAIAA2ADAAOwAgADUAMAA7ACAANwAwADsAIAAxADAAMAA7AFwAbgAgACAAIAAgACAAIAAxADEAMAA7ACAAMQAwADAAOwAgADcAMAA7ACAAMgA3ADAAOwAgADIAMwAwADsAIAAxADYAMAA7ACAAMQA0ADAAOwAgADIAMAAwADsAIAAxADEAMAA7ACAANgAwADsAXABuACAAIAAgACAAIAAgADgAMAA7ACAAMQA5ADAAOwAgADEAMAAwADsAIAAxADMAMAA7ACAAMgAyADAAOwAgADEANQAwADsAIAAyADUAMAA7ACAAMQAzADAAOwAgADEAMQAwADsAIAAxADkAMAA7ACAAMgA4ADAAXABuACAAIAAgACAAfQAsAFwAbgBcAG4AIAAgACAAIAAvAC8AIAAtAC0ALQAgAEkAZgAgAG4AbwAgAHQAeQBwAGUAIABpAHMAIABzAHAAZQBjAGkAZgBpAGUAZAAsACAAZABpAHMAcABsAGEAeQAgAGYAdQBsAGwAIAB0AGEAYgBsAGUAIAAtAC0ALQBcAG4AIAAgACAAIABmAG8AcgBtAGEAdAB0AGUAZABEAGEAdABhACwAIABCAFkAUgBPAFcAKABIAFMAVABBAEMASwAoAGEAcgByAFQAeQBwAGUAcwAsACAAYQByAHIAVABIAGkAZwBoACwAIABhAHIAcgBTAHAAYQBuACkALABcAG4AIAAgACAAIAAgACAATABBAE0AQgBEAEEAKAByAG8AdwAsACAAVABFAFgAVABKAE8ASQBOACgAXAAiADsAIABcACIALAAgAFQAUgBVAEUALAAgAFQARQBYAFQAKABJAE4ARABFAFgAKAByAG8AdwAsACAAMgApACwAIABcACIAMABcACIAKQAsACAAVABFAFgAVAAoAEkATgBEAEUAWAAoAHIAbwB3ACwAIAAzACkALAAgAFwAIgAwAFwAIgApACkAKQBcAG4AIAAgACAAIAApACwAXABuAFwAbgAgACAAIAAgAE4AdQBtAGIAZQByAHMALAAgAFMARQBRAFUARQBOAEMARQAoADEAMAAsADEALAAwACwAMQApACwAXABuACAAIAAgACAATwBfAFMAdABhAHIAcwAsACAARgBJAEwAVABFAFIAKABmAG8AcgBtAGEAdAB0AGUAZABEAGEAdABhACwAIABMAEUARgBUACgAYQByAHIAVAB5AHAAZQBzACwAMQApAD0AXAAiAE8AXAAiACkALABcAG4AIAAgACAAIABCAF8AUwB0AGEAcgBzACwAIABGAEkATABUAEUAUgAoAGYAbwByAG0AYQB0AHQAZQBkAEQAYQB0AGEALAAgAEwARQBGAFQAKABhAHIAcgBUAHkAcABlAHMALAAxACkAPQBcACIAQgBcACIAKQAsAFwAbgAgACAAIAAgAEEAXwBTAHQAYQByAHMALAAgAEYASQBMAFQARQBSACgAZgBvAHIAbQBhAHQAdABlAGQARABhAHQAYQAsACAATABFAEYAVAAoAGEAcgByAFQAeQBwAGUAcwAsADEAKQA9AFwAIgBBAFwAIgApACwAXABuACAAIAAgACAARgBfAFMAdABhAHIAcwAsACAARgBJAEwAVABFAFIAKABmAG8AcgBtAGEAdAB0AGUAZABEAGEAdABhACwAIABMAEUARgBUACgAYQByAHIAVAB5AHAAZQBzACwAMQApAD0AXAAiAEYAXAAiACkALABcAG4AIAAgACAAIABHAF8AUwB0AGEAcgBzACwAIABGAEkATABUAEUAUgAoAGYAbwByAG0AYQB0AHQAZQBkAEQAYQB0AGEALAAgAEwARQBGAFQAKABhAHIAcgBUAHkAcABlAHMALAAxACkAPQBcACIARwBcACIAKQAsAFwAbgAgACAAIAAgAEsAXwBTAHQAYQByAHMALAAgAEYASQBMAFQARQBSACgAZgBvAHIAbQBhAHQAdABlAGQARABhAHQAYQAsACAATABFAEYAVAAoAGEAcgByAFQAeQBwAGUAcwAsADEAKQA9AFwAIgBLAFwAIgApACwAXABuACAAIAAgACAATQBfAFMAdABhAHIAcwAsACAARgBJAEwAVABFAFIAKABmAG8AcgBtAGEAdAB0AGUAZABEAGEAdABhACwAIABMAEUARgBUACgAYQByAHIAVAB5AHAAZQBzACwAMQApAD0AXAAiAE0AXAAiACkALABcAG4AXABuACAAIAAgACAAZgB1AGwAbABUAGEAYgBsAGUALAAgAFYAUwBUAEEAQwBLACgASABlAGEAZABlAHIAcwAsACAASABTAFQAQQBDAEsAKABOAHUAbQBiAGUAcgBzACwATwBfAFMAdABhAHIAcwAsACAAQgBfAFMAdABhAHIAcwAsACAAQQBfAFMAdABhAHIAcwAsACAARgBfAFMAdABhAHIAcwAsACAARwBfAFMAdABhAHIAcwAsACAASwBfAFMAdABhAHIAcwAsACAATQBfAFMAdABhAHIAcwApACkALABcAG4AXABuACAAIAAgACAALwAvACAALQAtAC0AIABJAGYAIAB0AHkAcABlACAAaQBzACAAcwBwAGUAYwBpAGYAaQBlAGQALAAgAGoAdQBzAHQAIAByAGUAdAB1AHIAbgAgAHQAdwBvAC0AYwBvAGwAdQBtAG4AIABiAHIAZQBhAGsAZABvAHcAbgAgAC0ALQAtAFwAbgAgACAAIAAgAHQAZQBtAHAAcwAsACAARgBJAEwAVABFAFIAKABhAHIAcgBUAEgAaQBnAGgALAAgAEwARQBGAFQAKABhAHIAcgBUAHkAcABlAHMALAAgADEAKQAgAD0AIAB0AHkAcABlACkALABcAG4AIAAgACAAIABzAHAAYQBuAHMALAAgAEYASQBMAFQARQBSACgAYQByAHIAUwBwAGEAbgAsACAATABFAEYAVAAoAGEAcgByAFQAeQBwAGUAcwAsACAAMQApACAAPQAgAHQAeQBwAGUAKQAsAFwAbgAgACAAIAAgAHQAeQBwAGUASABlAGEAZAAsACAASABTAFQAQQBDAEsAKAB0AHkAcABlACwAIABcACIAcwBwAGEAbgBcACIAKQAsAFwAbgAgACAAIAAgAHMAbABpAG0AVABhAGIAbABlACwAIABWAFMAVABBAEMASwAoAHQAeQBwAGUASABlAGEAZAAsACAASABTAFQAQQBDAEsAKAB0AGUAbQBwAHMALAAgAHMAcABhAG4AcwApACkALABcAG4AXABuACAAIAAgACAALwAvACAALQAtAC0AIABGAGkAbgBhAGwAIABvAHUAdABwAHUAdAA6ACAAZgB1AGwAbAAgAHQAYQBiAGwAZQAgAG8AcgAgAGYAaQBsAHQAZQByAGUAZAAgAGMAbwBsAHUAbQBuAHMAXABuACAAIAAgACAAcgBlAHMAdQBsAHQALAAgAEkARgAoAEkAUwBCAEwAQQBOAEsAKAB0AHkAcABlACkALAAgAGYAdQBsAGwAVABhAGIAbABlACwAIABzAGwAaQBtAFQAYQBiAGwAZQApACwAXABuAFwAbgAgACAAIAAgAHIAZQBzAHUAbAB0AFwAbg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cAG4AQQBTAFQAUgBPAF8AUwBUAEEAUgBfAEEAVABUAFIASQBCAFUAVABFAFMAIAA9ACAATABBAE0AQgBEAEEAKABtAG8AZABlACwAIABpAG4AcAB1AHQALAAgAFsAcAByAGUAYwBpAHMAaQBvAG4AXQAsAFwAbgAgACAATABFAFQAKABcAG4AIAAgACAAIAAvAC8AIABTAGUAdAAgAGQAZQBmAGEAdQBsAHQAIAByAG8AdQBuAGQAaQBuAGcAIABwAHIAZQBjAGkAcwBpAG8AbgBcAG4AIAAgACAAIABwAHIAZQBjACwAIABJAEYAKABJAFMATwBNAEkAVABUAEUARAAoAHAAcgBlAGMAaQBzAGkAbwBuACkALAAgADYALAAgAHAAcgBlAGMAaQBzAGkAbwBuACkALABcAG4AXABuACAAIAAgACAALwAvACAATgBvAHIAbQBhAGwAaQB6AGUAIABpAG4AcAB1AHQAIABtAG8AZABlACAAdABvACAAdQBwAHAAZQByAC0AYwBhAHMAZQAgAGYAbwByACAAYwBvAG4AcwBpAHMAdABlAG4AYwB5AFwAbgAgACAAIAAgAG0AbwBkAGUALAAgAFUAUABQAEUAUgAoAG0AbwBkAGUAKQAsAFwAbgBcAG4AIAAgACAAIAAvAC8AIABOAG8AcgBtAGEAbABpAHoAZQAgAGkAbgBwAHUAdAAgAHQAbwAgAHMAbwBsAGEAcgAtAHIAZQBsAGEAdABpAHYAZQAgAHQAZQBtAHAAZQByAGEAdAB1AHIAZQAgACgAVABuAG8AcgBtACkAXABuACAAIAAgACAAVABuAG8AcgBtACwAIABTAFcASQBUAEMASAAoAFwAbgAgACAAIAAgACAAIABtAG8AZABlACwAXABuACAAIAAgACAAIAAgAFwAIgBUAFwAIgAsACAAaQBuAHAAdQB0ACwAXABuACAAIAAgACAAIAAgAFwAIgBLAFwAIgAsACAAaQBuAHAAdQB0ACAALwAgADUANwA3ADAALABcAG4AIAAgACAAIAAgACAAXAAiAE0AXAAiACwAIABTAFEAUgBUACgAaQBuAHAAdQB0ACkALABcAG4AIAAgACAAIAAgACAAXAAiAFIAXAAiACwAIABpAG4AcAB1AHQAIABeACAAKAAxACAALwAgADEALgA4ACkALABcAG4AIAAgACAAIAAgACAAXAAiAEwAXAAiACwAIABpAG4AcAB1AHQAIABeACAAKAAxACAALwAgADcALgA2ACkALABcAG4AIAAgACAAIAAgACAAXAAiAFYAXAAiACwAIABpAG4AcAB1AHQAIABeACAAKAAtADEAIAAvACAANQApACwAXABuACAAIAAgACAAIAAgAE4AQQAoACkAXABuACAAIAAgACAAKQAsAFwAbgBcAG4AIAAgACAAIAAvAC8AIABOAG8AdwAgAGQAZQByAGkAdgBlACAAYQBsAGwAIABvAHQAaABlAHIAIABhAHQAdAByAGkAYgB1AHQAZQBzACAAZgByAG8AbQAgAFQAbgBvAHIAbQBcAG4AIAAgACAAIABLACwAIABUAG4AbwByAG0AIAAqACAANQA3ADcAMAAsAFwAbgAgACAAIAAgAE0ALAAgAFQAbgBvAHIAbQAgAF4AIAAyACwAXABuACAAIAAgACAAUgAsACAAVABuAG8AcgBtACAAXgAgADEALgA4ACwAXABuACAAIAAgACAATAAsACAAVABuAG8AcgBtACAAXgAgADcALgA2ACwAXABuACAAIAAgACAAVgAsACAAVABuAG8AcgBtACAAXgAgAC0ANQAsAFwAbgBcAG4AIAAgACAAIAAvAC8AIABSAG8AdQBuAGQAIABlAHYAZQByAHkAdABoAGkAbgBnACAAYQBuAGQAIABmAG8AcgBtAGEAdAAgAGEAcwAgAHMAdAByAGkAbgBnAHMAXABuACAAIAAgACAAbABhAGIAZQBsAHMALAAgAFQAUgBBAE4AUwBQAE8AUwBFACgAewBcACIASwBcACIALAAgAFwAIgBUAFwAIgAsACAAXAAiAE0AXAAiACwAIABcACIAUgBcACIALAAgAFwAIgBMAFwAIgAsACAAXAAiAFYAXAAiAH0AKQAsAFwAbgAgACAAIAAgACAAIAAgACAAbwB1AHQAcAB1AHQAXwB2AGEAbAB1AGUAcwAsACAAVgBTAFQAQQBDAEsAKABcAG4AIAAgACAAIAAgACAAIAAgAFIATwBVAE4ARAAoAEsALAAgAHAAcgBlAGMAKQAsAFwAbgAgACAAIAAgACAAIAAgACAAUgBPAFUATgBEACgAVABuAG8AcgBtACwAIABwAHIAZQBjACkALABcAG4AIAAgACAAIAAgACAAIAAgAFIATwBVAE4ARAAoAE0ALAAgAHAAcgBlAGMAKQAsAFwAbgAgACAAIAAgACAAIAAgACAAUgBPAFUATgBEACgAUgAsACAAcAByAGUAYwApACwAXABuACAAIAAgACAAIAAgACAAIABSAE8AVQBOAEQAKABMACwAIABwAHIAZQBjACkALABcAG4AIAAgACAAIAAgACAAIAAgAFIATwBVAE4ARAAoAFYALAAgAHAAcgBlAGMAKQBcAG4AIAAgACAAIAAgACAAIAAgACkALABcAG4AXABuACAAIAAgACAALwAvACAALQAtAC0AIABMAGEAYgBlAGwAcwAgAHcAaQB0AGgAIABhAHIAcgBvAHcAIABvAG4AIABzAGUAbABlAGMAdABlAGQAIABtAG8AZABlACAALQAtAC0AXABuACAAIAAgACAAIAAgACAAIABmAGwAYQBnAGcAZQBkAF8AbABhAGIAZQBsAHMALAAgAEIAWQBSAE8AVwAoAGwAYQBiAGUAbABzACwAIABMAEEATQBCAEQAQQAoAHIAbwB3ACwAIABJAEYAKAByAG8AdwAgAD0AIABtAG8AZABlACwAIAByAG8AdwAgACYAIABcACIAIACUJ1wAIgAsACAAcgBvAHcAKQApACkALABcAG4AXABuAFwAbgAgACAAIAAgAC8ALwAgAFIAZQB0AHUAcgBuACAAbABhAGIAZQBsAGUAZAAgAHQAYQBiAGwAZQBcAG4AIAAgACAAIABDAEgATwBPAFMARQAoAHsAMQAsACAAMgB9ACwAIABmAGwAYQBnAGcAZQBkAF8AbABhAGIAZQBsAHMALAAgAG8AdQB0AHAAdQB0AF8AdgBhAGwAdQBlAHMAKQBcAG4AIAAgACkAXABuACkAOwBcAG4AXABuAFwAbgAvACoAIABBAFMAVABSAE8AXwBIAEEAQgBJAFQAQQBCAEwARQBfAFoATwBOAEUAUwA6AFwAbgAgACAAIABQAHUAcgBwAG8AcwBlADoAIABSAGUAdAB1AHIAbgBzACAAaABhAGIAaQB0AGEAYgBsAGUAIAB6AG8AbgBlACAAZABhAHQAYQAgAGIAYQBzAGUAZAAgAG8AbgAgAHMAdABlAGwAbABhAHIAIABsAHUAbQBpAG4AbwBzAGkAdAB5AC4AXABuAFwAbgAgACAAIABNAG8AZABlAHMAOgBcAG4AIAAgACAALQAgAFwAIgBUAEEAQgBMAEUAXAAiACAAIAAgACAAkiEgAFIAZQB0AHUAcgBuAHMAIABhACAAZgB1AGwAbAAgAHQAYQBiAGwAZQAgAG8AZgAgAGkAbgBuAGUAcgAvAG8AdQB0AGUAcgAvAGEAdgBnAC8AcwBwAGEAbgAgAGQAaQBzAHQAYQBuAGMAZQBzACAAZgBvAHIAIAB6AG8AbgBlAHMAIABaADAAEyBaADUALgBcAG4AIAAgACAALQAgAFwAIgBWAEUAUgBUAEkAQwBBAEwAXAAiACAAkiEgAFIAZQB0AHUAcgBuAHMAIABhACAAdgBlAHIAdABpAGMAYQBsACAAbABpAHMAdAAgAG8AZgAgAHMAYwBhAGwAZQBkACAAZABpAHMAdABhAG4AYwBlAHMALAAgAHcAaQB0AGgAIABOAC0APgAgAG0AYQByAGsAaQBuAGcAIAB0AGgAZQAgAG4AdQBjAGwAZQBhAGwAIAByAGEAZABpAHUAcwAuAFwAbgAgACAAIAAtACAAXAAiAEgATwBSAEkAWgBPAE4AVABBAEwAXAAiACAAkiEgAFIAZQB0AHUAcgBuAHMAIABhACAAaABvAHIAaQB6AG8AbgB0AGEAbAAgAHIAbwB3ACAAbwBmACAAdABoAGUAIABzAGEAbQBlACAAdgBhAGwAdQBlAHMAIABmAG8AcgAgAHUAcwBlACAAaQBuACAAaQBuAGwAaQBuAGUAIABkAGkAcwBwAGwAYQB5AC4AXABuAFwAbgAgACAAIABQAGEAcgBhAG0AZQB0AGUAcgBzADoAXABuACAAIAAgAC0AIABtAG8AZABlACAAKAByAGUAcQB1AGkAcgBlAGQAKQA6ACAATwBuAGUAIABvAGYAIABcACIAVABBAEIATABFAFwAIgAsACAAXAAiAFYARQBSAFQASQBDAEEATABcACIALAAgAG8AcgAgAFwAIgBIAE8AUgBJAFoATwBOAFQAQQBMAFwAIgAuAFwAbgAgACAAIAAtACAAbAB1AG0AIAAoAG8AcAB0AGkAbwBuAGEAbAApADoAIABTAHQAZQBsAGwAYQByACAAbAB1AG0AaQBuAG8AcwBpAHQAeQAgAGkAbgAgAHMAbwBsAGEAcgAgAHUAbgBpAHQAcwAuACAAUgBlAHEAdQBpAHIAZQBkACAAZgBvAHIAIABWAEUAUgBUAEkAQwBBAEwAIABhAG4AZAAgAEgATwBSAEkAWgBPAE4AVABBAEwALgBcAG4AIAAgACAALQAgAHAAcgBlAGMAaQBzAGkAbwBuACAAKABvAHAAdABpAG8AbgBhAGwAKQA6ACAATgB1AG0AYgBlAHIAIABvAGYAIABkAGUAYwBpAG0AYQBsACAAcABsAGEAYwBlAHMAIAAoAGQAZQBmAGEAdQBsAHQAIAA9ACAAMwApAFwAbgBcAG4AIAAgACAAWgBvAG4AZQBzACAAKABaADAAEyBaADUAKQAgAHIAZQBwAHIAZQBzAGUAbgB0ACAAbgBlAHMAdABlAGQAIABjAGkAcgBjAHUAbQBzAHQAZQBsAGwAYQByACAAaABhAGIAaQB0AGEAYgBpAGwAaQB0AHkAIABiAGEAbgBkAHMAOgBcAG4AIAAgACAALQAgAFoAMAA6ACAAKAB0AG8AbwAgAGgAbwB0ACkAXABuACAAIAAgAC0AIABaADEAOgAgACgAaQBuAG4AZQByACAAZQBkAGcAZQApAFwAbgAgACAAIAAtACAAWgAyADoAIAAoAGkAbgBuAGUAcgAgAHQAZQBtAHAAZQByAGEAdABlACkAXABuACAAIAAgAC0AIABaADMAOgAgACgAbwB1AHQAZQByACAAdABlAG0AcABlAHIAYQB0AGUAKQBcAG4AIAAgACAALQAgAFoANAA6ACAAKABvAHUAdABlAHIAIABlAGQAZwBlACkAXABuACAAIAAgAC0AIABaADUAOgAgACgAdABvAG8AIABjAG8AbABkACkAXABuAFwAbgAgACAAIABFAHgAYQBtAHAAbABlACAAdQBzAGEAZwBlADoAXABuACAAIAAgAEEAUwBUAFIATwBfAEgAQQBCAEkAVABBAEIATABFAF8AWgBPAE4ARQBTACgAXAAiAFQAQQBCAEwARQBcACIAKQAgACAAIAAgACAAIAAgACAAIAAgACAAIACSISAAUgBlAHQAdQByAG4AcwAgAGIAYQBzAGUAIAByAGUAZgBlAHIAZQBuAGMAZQAgAGMAaABhAHIAdABcAG4AIAAgACAAQQBTAFQAUgBPAF8ASABBAEIASQBUAEEAQgBMAEUAXwBaAE8ATgBFAFMAKABcACIAVgBFAFIAVABJAEMAQQBMAFwAIgAsACAAMQAuADIANQApACAAIAAgAJIhIABSAGUAdAB1AHIAbgBzACAAdgBlAHIAdABpAGMAYQBsACAAZABpAHMAdABhAG4AYwBlAHMAIABzAGMAYQBsAGUAZAAgAHQAbwAgAHMAdABhAHIAIAB3AGkAdABoACAATAAgAD0AIAAxAC4AMgA1AFwAbgAgACAAIABBAFMAVABSAE8AXwBIAEEAQgBJAFQAQQBCAEwARQBfAFoATwBOAEUAUwAoAFwAIgBIAE8AUgBJAFoATwBOAFQAQQBMAFwAIgAsACAAMQAuADIANQApACAAkiEgAFIAZQB0AHUAcgBuAHMAIABzAGEAbQBlACAAYQBzACAAcgBvAHcAXABuAFwAbgAgACAAIABOAG8AdABlAHMAOgBcAG4AIAAgACAALQAgAE4AdQBjAGwAZQBhAGwAIAByAGEAZABpAHUAcwAgAGkAcwAgAHMAcQByAHQAKABMACkAIABhAG4AZAAgAHUAcwBlAGQAIABhAHMAIABhAG4AYwBoAG8AcgAgAGIAZQB0AHcAZQBlAG4AIABaADIAEyBaADMALgBcAG4AIAAgACAALQAgAEkAbgBwAHUAdAAgAGkAcwAgAGkAZwBuAG8AcgBlAGQAIABmAG8AcgAgAG0AbwBkAGUAIABcACIAVABBAEIATABFAFwAIgAuAFwAbgAqAC8AXABuAFwAbgBBAFMAVABSAE8AXwBIAEEAQgBJAFQAQQBCAEwARQBfAFoATwBOAEUAUwAgAD0AIABMAEEATQBCAEQAQQAoAG0AbwBkAGUALAAgAFsAbAB1AG0AXQAsACAAWwBwAHIAZQBjAGkAcwBpAG8AbgBdACwAXABuACAAIABMAEUAVAAoAFwAbgAgACAAIAAgAG0AbwBkAGUALAAgAFUAUABQAEUAUgAoAG0AbwBkAGUAKQAsAFwAbgAgACAAIAAgAHAAcgBlAGMALAAgAEkARgAoAEkAUwBPAE0ASQBUAFQARQBEACgAcAByAGUAYwBpAHMAaQBvAG4AKQAsACAAMwAsACAAcAByAGUAYwBpAHMAaQBvAG4AKQAsAFwAbgBcAG4AIAAgACAAIAAvAC8AIABaAG8AbgBlACAAYwBvAGUAZgBmAGkAYwBpAGUAbgB0AHMAXABuACAAIAAgACAAegBvAG4AZQBfAGwAYQBiAGUAbABzACwAIAB7AFwAIgBaADAAXAAiADsAIABcACIAWgAxAFwAIgA7ACAAXAAiAFoAMgBcACIAOwAgAFwAIgBaADMAXAAiADsAIABcACIAWgA0AFwAIgA7ACAAXAAiAFoANQBcACIAfQAsAFwAbgAgACAAIAAgAGkAbgBuAGUAcgBfAGYAYQBjAHQAbwByAHMALAAgAHsAMAA7ACAAMAAuADUAOwAgADAALgA3ADUAOwAgADAALgA5ADUAOwAgADEALgAzADgANQA7ACAAMQAuADcANwB9ACwAXABuACAAIAAgACAAbwB1AHQAZQByAF8AZgBhAGMAdABvAHIAcwAsACAAewAwAC4ANQA7ACAAMAAuADcANQA7ACAAMAAuADkANQA7ACAAMQAuADMAOAA1ADsAIAAxAC4ANwA3ADsAIAA0AC4AOAA1AH0ALABcAG4AXABuACAAIAAgACAALwAvACAAUAByAGUAYwBvAG0AcAB1AHQAZQAgAGEAdgBlAHIAYQBnAGUAIABhAG4AZAAgAHMAcABhAG4AXABuACAAIAAgACAAYQB2AGcAXwBmAGEAYwB0AG8AcgBzACwAIAAoAGkAbgBuAGUAcgBfAGYAYQBjAHQAbwByAHMAIAArACAAbwB1AHQAZQByAF8AZgBhAGMAdABvAHIAcwApACAALwAgADIALABcAG4AIAAgACAAIABzAHAAYQBuAF8AZgBhAGMAdABvAHIAcwAsACAAbwB1AHQAZQByAF8AZgBhAGMAdABvAHIAcwAgAC0AIABpAG4AbgBlAHIAXwBmAGEAYwB0AG8AcgBzACwAXABuAFwAbgAgACAAIAAgAC8ALwAgAE4AdQBjAGwAZQBhAGwAIAAoAGYAbwByACAAcwBjAGEAbABpAG4AZwApAFwAbgAgACAAIAAgAG4AdQBjAGwAZQBhAGwALAAgAFMAUQBSAFQAKABJAEYAKABJAFMATwBNAEkAVABUAEUARAAoAGwAdQBtACkALAAgADEALAAgAGwAdQBtACkAKQAsAFwAbgBcAG4AIAAgACAAIAAvAC8AIABDAG8AbQBwAHUAdABlACAAcwBjAGEAbABlAGQAIABkAGkAcwB0AGEAbgBjAGUAcwBcAG4AIAAgACAAIABpAG4AbgBlAHIAXwBzAGMAYQBsAGUAZAAsACAAUgBPAFUATgBEACgAbgB1AGMAbABlAGEAbAAgACoAIABpAG4AbgBlAHIAXwBmAGEAYwB0AG8AcgBzACwAIABwAHIAZQBjACkALABcAG4AIAAgACAAIABvAHUAdABlAHIAXwBzAGMAYQBsAGUAZAAsACAAUgBPAFUATgBEACgAbgB1AGMAbABlAGEAbAAgACoAIABvAHUAdABlAHIAXwBmAGEAYwB0AG8AcgBzACwAIABwAHIAZQBjACkALABcAG4AIAAgACAAIABhAHYAZwBfAHMAYwBhAGwAZQBkACwAIABSAE8AVQBOAEQAKABuAHUAYwBsAGUAYQBsACAAKgAgAGEAdgBnAF8AZgBhAGMAdABvAHIAcwAsACAAcAByAGUAYwApACwAXABuACAAIAAgACAAcwBwAGEAbgBfAHMAYwBhAGwAZQBkACwAIABSAE8AVQBOAEQAKABuAHUAYwBsAGUAYQBsACAAKgAgAHMAcABhAG4AXwBmAGEAYwB0AG8AcgBzACwAIABwAHIAZQBjACkALABcAG4AXABuACAAIAAgACAALwAvACAARgBvAHIAbQBhAHQAdABlAGQAIABvAHUAdABwAHUAdABcAG4AIAAgACAAIAB2AGUAcgB0AGkAYwBhAGwAXwBsAGEAYgBlAGwAcwAsACAAewBcACIAMAA6ACAAXAAiACwAIABcACIAMQA6ACAAXAAiACwAIABcACIAMgA6ACAAXAAiACwAIABcACIATgAgAJQnXAAiACwAIABcACIAMwA6ACAAXAAiACwAIABcACIANAA6ACAAXAAiACwAIABcACIANQA6ACAAXAAiAH0ALABcAG4AIAAgACAAIAB2AGUAcgB0AGkAYwBhAGwAXwB2AGEAbAB1AGUAcwAsACAAVgBTAFQAQQBDAEsAKABcAG4AIAAgACAAIABSAE8AVQBOAEQAKABJAE4ARABFAFgAKABpAG4AbgBlAHIAXwBmAGEAYwB0AG8AcgBzACwAIAAyACkAIAAqACAAbgB1AGMAbABlAGEAbAAsACAAcAByAGUAYwApACwAXABuACAAIAAgACAAUgBPAFUATgBEACgASQBOAEQARQBYACgAaQBuAG4AZQByAF8AZgBhAGMAdABvAHIAcwAsACAAMwApACAAKgAgAG4AdQBjAGwAZQBhAGwALAAgAHAAcgBlAGMAKQAsAFwAbgAgACAAIAAgAFIATwBVAE4ARAAoAEkATgBEAEUAWAAoAGkAbgBuAGUAcgBfAGYAYQBjAHQAbwByAHMALAAgADQAKQAgACoAIABuAHUAYwBsAGUAYQBsACwAIABwAHIAZQBjACkALABcAG4AIAAgACAAIABSAE8AVQBOAEQAKABuAHUAYwBsAGUAYQBsACwAIABwAHIAZQBjACkALABcAG4AIAAgACAAIABSAE8AVQBOAEQAKABJAE4ARABFAFgAKABvAHUAdABlAHIAXwBmAGEAYwB0AG8AcgBzACwAIAA0ACkAIAAqACAAbgB1AGMAbABlAGEAbAAsACAAcAByAGUAYwApACwAXABuACAAIAAgACAAUgBPAFUATgBEACgASQBOAEQARQBYACgAbwB1AHQAZQByAF8AZgBhAGMAdABvAHIAcwAsACAANQApACAAKgAgAG4AdQBjAGwAZQBhAGwALAAgAHAAcgBlAGMAKQAsAFwAbgAgACAAIAAgAFIATwBVAE4ARAAoAEkATgBEAEUAWAAoAG8AdQB0AGUAcgBfAGYAYQBjAHQAbwByAHMALAAgADYAKQAgACoAIABuAHUAYwBsAGUAYQBsACwAIABwAHIAZQBjACkAXABuACAAIAAgACAAKQAsAFwAbgBcAG4AIAAgACAAIAAvAC8AIABSAGUAdAB1AHIAbgAgAGwAbwBnAGkAYwBcAG4AIAAgACAAIAByAGUAcwB1AGwAdAAsAFwAbgAgACAAIAAgACAAIABTAFcASQBUAEMASAAoAFwAbgAgACAAIAAgACAAIAAgACAAbQBvAGQAZQAsAFwAbgAgACAAIAAgACAAIAAgACAAXAAiAFMAVABBAE4ARABBAFIARABcACIALAAgAEMASABPAE8AUwBFACgAXABuACAAIAAgACAAIAAgACAAIAAgACAAewAxACwAIAAyACwAIAAzACwAIAA0ACwAIAA1AH0ALABcAG4AIAAgACAAIAAgACAAIAAgACAAIABWAFMAVABBAEMASwAoAFwAIgBaAG8AbgBlAFwAIgAsACAAegBvAG4AZQBfAGwAYQBiAGUAbABzACkALABcAG4AIAAgACAAIAAgACAAIAAgACAAIABWAFMAVABBAEMASwAoAFwAIgBJAG4AbgBlAHIAXAAiACwAIABpAG4AbgBlAHIAXwBmAGEAYwB0AG8AcgBzACkALABcAG4AIAAgACAAIAAgACAAIAAgACAAIABWAFMAVABBAEMASwAoAFwAIgBPAHUAdABlAHIAXAAiACwAIABvAHUAdABlAHIAXwBmAGEAYwB0AG8AcgBzACkALABcAG4AIAAgACAAIAAgACAAIAAgACAAIABWAFMAVABBAEMASwAoAFwAIgBBAHYAZQByAGEAZwBlAFwAIgAsACAAYQB2AGcAXwBmAGEAYwB0AG8AcgBzACkALABcAG4AIAAgACAAIAAgACAAIAAgACAAIABWAFMAVABBAEMASwAoAFwAIgBTAHAAYQBuAFwAIgAsACAAcwBwAGEAbgBfAGYAYQBjAHQAbwByAHMAKQBcAG4AIAAgACAAIAAgACAAIAAgACkALABcAG4AIAAgACAAIAAgACAAIAAgAFwAIgBWAEUAUgBUAEkAQwBBAEwAXAAiACwAIABcAG4AIAAgACAAIAAgACAAIAAgACAAIABMAEUAVAAoAFwAbgAgACAAIAAgACAAIAAgACAAIAAgACAAIABsAGEAYgBlAGwAcwAsACAAewBcACIAMAA6AFwAIgAsACAAXAAiADEAOgBcACIALAAgAFwAIgAyADoAXAAiACwAIABcACIATgAgAJQnXAAiACwAIABcACIAMwA6AFwAIgAsACAAXAAiADQAOgBcACIALAAgAFwAIgA1ADoAXAAiAH0ALABcAG4AIAAgACAAIAAgACAAIAAgACAAIAAgACAAcwBjAGEAbABlAGQAXwB2AGEAbAB1AGUAcwAsACAAUgBPAFUATgBEACgAbgB1AGMAbABlAGEAbAAgACoAIAB7ADAALgA1ACwAIAAwAC4ANwA1ACwAIAAwAC4AOQA1ACwAIAAxACwAIAAxAC4AMwA4ADUALAAgADEALgA3ADcALAAgADQALgA4ADUAfQAsACAAcAByAGUAYwApACwAXABuACAAIAAgACAAIAAgACAAIAAgACAAIAAgAFQAUgBBAE4AUwBQAE8AUwBFACgAVgBTAFQAQQBDAEsAKABsAGEAYgBlAGwAcwAsACAAcwBjAGEAbABlAGQAXwB2AGEAbAB1AGUAcwApACkAXABuACAAIAAgACAAIAAgACAAIAApACwAXABuACAAIAAgACAAIAAgACAAIABcACIASABPAFIASQBaAE8ATgBUAEEATABcACIALAAgAEgAUwBUAEEAQwBLACgAXABuACAAIAAgACAAIAAgACAAIABSAE8AVQBOAEQAKABJAE4ARABFAFgAKABpAG4AbgBlAHIAXwBmAGEAYwB0AG8AcgBzACwAIAAyACkAIAAqACAAbgB1AGMAbABlAGEAbAAsACAAcAByAGUAYwApACwAXABuACAAIAAgACAAIAAgACAAIABSAE8AVQBOAEQAKABJAE4ARABFAFgAKABpAG4AbgBlAHIAXwBmAGEAYwB0AG8AcgBzACwAIAAzACkAIAAqACAAbgB1AGMAbABlAGEAbAAsACAAcAByAGUAYwApACwAXABuACAAIAAgACAAIAAgACAAIABSAE8AVQBOAEQAKABJAE4ARABFAFgAKABpAG4AbgBlAHIAXwBmAGEAYwB0AG8AcgBzACwAIAA0ACkAIAAqACAAbgB1AGMAbABlAGEAbAAsACAAcAByAGUAYwApACwAXABuACAAIAAgACAAIAAgACAAIABSAE8AVQBOAEQAKABuAHUAYwBsAGUAYQBsACwAIABwAHIAZQBjACkALABcAG4AIAAgACAAIAAgACAAIAAgAFIATwBVAE4ARAAoAEkATgBEAEUAWAAoAG8AdQB0AGUAcgBfAGYAYQBjAHQAbwByAHMALAAgADQAKQAgACoAIABuAHUAYwBsAGUAYQBsACwAIABwAHIAZQBjACkALABcAG4AIAAgACAAIAAgACAAIAAgAFIATwBVAE4ARAAoAEkATgBEAEUAWAAoAG8AdQB0AGUAcgBfAGYAYQBjAHQAbwByAHMALAAgADUAKQAgACoAIABuAHUAYwBsAGUAYQBsACwAIABwAHIAZQBjACkALABcAG4AIAAgACAAIAAgACAAIAAgAFIATwBVAE4ARAAoAEkATgBEAEUAWAAoAG8AdQB0AGUAcgBfAGYAYQBjAHQAbwByAHMALAAgADYAKQAgACoAIABuAHUAYwBsAGUAYQBsACwAIABwAHIAZQBjACkAXABuACAAIAAgACAAIAAgACAAIAApACwAXABuACAAIAAgACAAIAAgACAAIABcACIASQBuAHYAYQBsAGkAZAAgAG0AbwBkAGUAXAAiAFwAbgAgACAAIAAgACAAIAApACwAXABuAFwAbgAgACAAIAAgAHIAZQBzAHUAbAB0AFwAbgAgACAAKQBcAG4AKQA7AFwAbgBcAG4ALwAqACAATgBBAFMAVABSAE8AXwBIAEEAQgBJAFQAQQBCAEwARQBfAFoATwBOAEUAUwA6AFwAbgAgACAAIABQAHUAcgBwAG8AcwBlADoAIABQAHIAbwB2AGkAZABlAHMAIABpAG4AZgBvAHIAbQBhAHQAaQBvAG4AIABhAGIAbwB1AHQAIABzAHQAZQBsAGwAYQByACAAaABhAGIAaQB0AGEAYgBsAGUAIAB6AG8AbgBlAHMAIABhAGMAcgBvAHMAcwAgAG0AdQBsAHQAaQBwAGwAZQAgAGQAaQBzAHAAbABhAHkAIABtAG8AZABlAHMAOgBcAG4AIAAgACAAIAAgACAAIAAgACAAIAAgACAALQAgAFMAVABBAE4ARABBAFIARAA6ACAAUgBlAHQAdQByAG4AcwAgAGEAIABmAGkAeABlAGQAIAB0AGEAYgBsAGUAIABvAGYAIABpAG4AbgBlAHIALwBvAHUAdABlAHIAIABiAG8AdQBuAGQAcwAgAGYAbwByACAAWgAwABMgWgA1ACAAegBvAG4AZQBzACAAaQBuACAAQQBVAFwAbgAgACAAIAAgACAAIAAgACAAIAAgACAAIAAtACAAVABBAEIATABFADoAIABTAGMAYQBsAGUAcwAgAHQAaABlACAAUwBUAEEATgBEAEEAUgBEACAAegBvAG4AZQBzACAAYgBhAHMAZQBkACAAbwBuACAAcwB0AGUAbABsAGEAcgAgAGwAdQBtAGkAbgBvAHMAaQB0AHkAXABuACAAIAAgACAAIAAgACAAIAAgACAAIAAgAC0AIABWAEUAUgBUAEkAQwBBAEwAOgAgAFIAZQB0AHUAcgBuAHMAIABhACAAdgBlAHIAdABpAGMAYQBsACAAbABpAHMAdAAgAG8AZgAgAHoAbwBuAGUAIABsAGEAYgBlAGwAcwAgAGEAbgBkACAAZABpAHMAdABhAG4AYwBlAHMAIABiAGEAcwBlAGQAIABvAG4AIABsAHUAbQBpAG4AbwBzAGkAdAB5AFwAbgAgACAAIAAgACAAIAAgACAAIAAgACAAIAAtACAASABPAFIASQBaAE8ATgBUAEEATAA6ACAAUgBlAHQAdQByAG4AcwAgAGEAIABzAGkAbgBnAGwAZQAtAHIAbwB3ACAAcwB1AG0AbQBhAHIAeQAgAG8AZgAgAHMAYwBhAGwAZQBkACAAZABpAHMAdABhAG4AYwBlAHMAXABuAFwAbgAgACAAIABQAGEAcgBhAG0AZQB0AGUAcgBzADoAXABuACAAIAAgAC0AIABtAG8AZABlACAAKAByAGUAcQB1AGkAcgBlAGQAKQA6ACAAXAAiAFMAVABBAE4ARABBAFIARABcACIALAAgAFwAIgBUAEEAQgBMAEUAXAAiACwAIABcACIAVgBFAFIAVABJAEMAQQBMAFwAIgAsACAAbwByACAAXAAiAEgATwBSAEkAWgBPAE4AVABBAEwAXAAiAFwAbgAgACAAIAAtACAAbAB1AG0AIAAoAG8AcAB0AGkAbwBuAGEAbAApADoAIABTAHQAZQBsAGwAYQByACAAbAB1AG0AaQBuAG8AcwBpAHQAeQAgAGkAbgAgAHMAbwBsAGEAcgAgAHUAbgBpAHQAcwAgACgAbwBuAGwAeQAgAHIAZQBxAHUAaQByAGUAZAAgAGYAbwByACAAVABBAEIATABFACwAIABWAEUAUgBUAEkAQwBBAEwALAAgAG8AcgAgAEgATwBSAEkAWgBPAE4AVABBAEwAIABtAG8AZABlAHMAKQBcAG4AIAAgACAALQAgAHAAcgBlAGMAIAAoAG8AcAB0AGkAbwBuAGEAbAApADoAIABOAHUAbQBiAGUAcgAgAG8AZgAgAGQAZQBjAGkAbQBhAGwAIABwAGwAYQBjAGUAcwAgAHQAbwAgAHIAbwB1AG4AZAAgAGQAaQBzAHQAYQBuAGMAZQBzACAAdABvACAAKABkAGUAZgBhAHUAbAB0ACAAPQAgADMAKQBcAG4AXABuACAAIAAgAEUAeABhAG0AcABsAGUAOgBcAG4AIAAgACAAQQBTAFQAUgBPAF8ASABBAEIASQBUAEEAQgBMAEUAXwBaAE8ATgBFAFMAKABcACIAUwBUAEEATgBEAEEAUgBEAFwAIgApAFwAbgAgACAAIABBAFMAVABSAE8AXwBIAEEAQgBJAFQAQQBCAEwARQBfAFoATwBOAEUAUwAoAFwAIgBUAEEAQgBMAEUAXAAiACwAIAAzACkAXABuACAAIAAgAEEAUwBUAFIATwBfAEgAQQBCAEkAVABBAEIATABFAF8AWgBPAE4ARQBTACgAXAAiAFYARQBSAFQASQBDAEEATABcACIALAAgADMAKQBcAG4AIAAgACAAQQBTAFQAUgBPAF8ASABBAEIASQBUAEEAQgBMAEUAXwBaAE8ATgBFAFMAKABcACIASABPAFIASQBaAE8ATgBUAEEATABcACIALAAgADMAKQBcAG4AKgAvAFwAbgBcAG4ATgBBAFMAVABSAE8AXwBIAEEAQgBJAFQAQQBCAEwARQBfAFoATwBOAEUAUwAgAD0AIABMAEEATQBCAEQAQQAoAG0AbwBkAGUALAAgAFsAbAB1AG0AXQAsACAAWwBwAHIAZQBjAF0ALABcAG4AIAAgAEwARQBUACgAXABuACAAIAAgACAALwAvACAALQAtAC0AIABEAGUAZgBhAHUAbAB0AHMAIAAtAC0ALQBcAG4AIAAgACAAIABkAGUAYwAsACAASQBGACgASQBTAE8ATQBJAFQAVABFAEQAKABwAHIAZQBjACkALAAgADMALAAgAHAAcgBlAGMAKQAsAFwAbgAgACAAIAAgAEwALAAgAEkARgAoAEkAUwBPAE0ASQBUAFQARQBEACgAbAB1AG0AKQAsACAAMQAsACAAbAB1AG0AKQAsAFwAbgAgACAAIAAgAG4AdQBjACwAIABTAFEAUgBUACgATAApACwAXABuAFwAbgAgACAAIAAgAC8ALwAgAC0ALQAtACAAWgBvAG4AZQAgAGIAYQBzAGUAIABkAGEAdABhACAALQAtAC0AXABuACAAIAAgACAAegBvAG4AZQBfAGwAYQBiAGUAbABzACwAIAB7AFwAIgBaADAAXAAiACwAIABcACIAWgAxAFwAIgAsACAAXAAiAFoAMgBcACIALAAgAFwAIgBaADMAXAAiACwAIABcACIAWgA0AFwAIgAsACAAXAAiAFoANQBcACIAfQAsAFwAbgAgACAAIAAgAGkAbgBuAGUAcgBfAGYAYQBjAHQAbwByAHMALAAgAHsAMAAsACAAMAAuADUALAAgADAALgA3ADUALAAgADAALgA5ADUALAAgADEALgAzADgANQAsACAAMQAuADcANwB9ACwAXABuACAAIAAgACAAbwB1AHQAZQByAF8AZgBhAGMAdABvAHIAcwAsACAAewAwAC4ANQAsACAAMAAuADcANQAsACAAMAAuADkANQAsACAAMQAuADMAOAA1ACwAIAAxAC4ANwA3ACwAIAA0AC4AOAA1AH0ALABcAG4AIAAgACAAIABhAHYAZwBfAGYAYQBjAHQAbwByAHMALAAgACAAIAB7ADAALgAyADUALAAgADAALgA2ADIANQAsACAAMAAuADgANQAsACAAMQAuADEANgA3ADUALAAgADEALgA1ADcANwA1ACwAIAAzAC4AMwAxAH0ALABcAG4AIAAgACAAIABzAHAAYQBuAF8AZgBhAGMAdABvAHIAcwAsACAAIAB7ADAALgA1ACwAIAAwAC4AMgA1ACwAIAAwAC4AMgAsACAAMAAuADQAMwA1ACwAIAAwAC4AMwA4ADUALAAgADMALgAwADgAfQAsAFwAbgBcAG4AIAAgACAAIAAvAC8AIAAtAC0ALQAgAFMAYwBhAGwAZQBkACAAdgBhAGwAdQBlAHMAIAAtAC0ALQBcAG4AIAAgACAAIABpAG4AbgBlAHIAXwBzAGMAYQBsAGUAZAAsACAAUgBPAFUATgBEACgAbgB1AGMAIAAqACAAaQBuAG4AZQByAF8AZgBhAGMAdABvAHIAcwAsACAAZABlAGMAKQAsAFwAbgAgACAAIAAgAG8AdQB0AGUAcgBfAHMAYwBhAGwAZQBkACwAIABSAE8AVQBOAEQAKABuAHUAYwAgACoAIABvAHUAdABlAHIAXwBmAGEAYwB0AG8AcgBzACwAIABkAGUAYwApACwAXABuACAAIAAgACAAYQB2AGcAXwBzAGMAYQBsAGUAZAAsACAAIAAgAFIATwBVAE4ARAAoAG4AdQBjACAAKgAgAGEAdgBnAF8AZgBhAGMAdABvAHIAcwAsACAAZABlAGMAKQAsAFwAbgAgACAAIAAgAHMAcABhAG4AXwBzAGMAYQBsAGUAZAAsACAAIABSAE8AVQBOAEQAKABuAHUAYwAgACoAIABzAHAAYQBuAF8AZgBhAGMAdABvAHIAcwAsACAAZABlAGMAKQAsAFwAbgBcAG4AIAAgACAAIAAvAC8AIAAtAC0ALQAgAFQAYQBiAGwAZQA6ACAAUwBUAEEATgBEAEEAUgBEACAAYQBuAGQAIABUAEEAQgBMAEUAIABtAG8AZABlAHMAIAAtAC0ALQBcAG4AIAAgACAAIAByAG8AdwBfADEALAAgAFYAUwBUAEEAQwBLACgAXAAiAFoAbwBuAGUAXAAiACwAIAB6AG8AbgBlAF8AbABhAGIAZQBsAHMAKQAsAFwAbgAgACAAIAAgAHIAbwB3AF8AMgAsACAAVgBTAFQAQQBDAEsAKABcACIASQBuAG4AZQByAFwAIgAsACAASQBGACgAbQBvAGQAZQA9AFwAIgBTAFQAQQBOAEQAQQBSAEQAXAAiACwAIABpAG4AbgBlAHIAXwBmAGEAYwB0AG8AcgBzACwAIABpAG4AbgBlAHIAXwBzAGMAYQBsAGUAZAApACkALABcAG4AIAAgACAAIAByAG8AdwBfADMALAAgAFYAUwBUAEEAQwBLACgAXAAiAE8AdQB0AGUAcgBcACIALAAgAEkARgAoAG0AbwBkAGUAPQBcACIAUwBUAEEATgBEAEEAUgBEAFwAIgAsACAAbwB1AHQAZQByAF8AZgBhAGMAdABvAHIAcwAsACAAbwB1AHQAZQByAF8AcwBjAGEAbABlAGQAKQApACwAXABuACAAIAAgACAAcgBvAHcAXwA0ACwAIABWAFMAVABBAEMASwAoAFwAIgBBAHYAZQByAGEAZwBlAFwAIgAsACAASQBGACgAbQBvAGQAZQA9AFwAIgBTAFQAQQBOAEQAQQBSAEQAXAAiACwAIABhAHYAZwBfAGYAYQBjAHQAbwByAHMALAAgAGEAdgBnAF8AcwBjAGEAbABlAGQAKQApACwAXABuACAAIAAgACAAcgBvAHcAXwA1ACwAIABWAFMAVABBAEMASwAoAFwAIgBTAHAAYQBuAFwAIgAsACAASQBGACgAbQBvAGQAZQA9AFwAIgBTAFQAQQBOAEQAQQBSAEQAXAAiACwAIABzAHAAYQBuAF8AZgBhAGMAdABvAHIAcwAsACAAcwBwAGEAbgBfAHMAYwBhAGwAZQBkACkAKQAsAFwAbgBcAG4AIAAgACAAIAAvAC8AIAAtAC0ALQAgAFYAZQByAHQAaQBjAGEAbAAgAG0AbwBkAGUAIABvAHUAdABwAHUAdAAgAC0ALQAtAFwAbgAgACAAIAAgAHYAZQByAHQAaQBjAGEAbABfAGwAYQBiAGUAbABzACwAIAB7AFwAIgAwADoAXAAiACwAIABcACIAMQA6AFwAIgAsACAAXAAiADIAOgBcACIALAAgAFwAIgBOACAAlCdcACIALAAgAFwAIgAzADoAXAAiACwAIABcACIANAA6AFwAIgAsACAAXAAiADUAOgBcACIAfQAsAFwAbgAgACAAIAAgAHYAZQByAHQAaQBjAGEAbABfAHYAYQBsAHUAZQBzACwAIABSAE8AVQBOAEQAKAB7ADAALgA1ACwAIAAwAC4ANwA1ACwAIAAwAC4AOQA1ACwAIAAxACwAIAAxAC4AMwA4ADUALAAgADEALgA3ADcALAAgADQALgA4ADUAfQAgACoAIABuAHUAYwAsACAAZABlAGMAKQAsAFwAbgBcAG4AIAAgACAAIAAvAC8AIAAtAC0ALQAgAEgAbwByAGkAegBvAG4AdABhAGwAIABtAG8AZABlACAAbwB1AHQAcAB1AHQAIAAtAC0ALQBcAG4AIAAgACAAIABoAG8AcgBpAHoAbwBuAHQAYQBsAF8AdgBhAGwAdQBlAHMALAAgAEgAUwBUAEEAQwBLACgAXABuACAAIAAgACAAIAAgAFIATwBVAE4ARAAoADAALgA1ACAAKgAgAG4AdQBjACwAIABkAGUAYwApACwAXABuACAAIAAgACAAIAAgAFIATwBVAE4ARAAoADAALgA3ADUAIAAqACAAbgB1AGMALAAgAGQAZQBjACkALABcAG4AIAAgACAAIAAgACAAUgBPAFUATgBEACgAMAAuADkANQAgACoAIABuAHUAYwAsACAAZABlAGMAKQAsAFwAbgAgACAAIAAgACAAIABSAE8AVQBOAEQAKAAxACAAKgAgAG4AdQBjACwAIABkAGUAYwApACwAXABuACAAIAAgACAAIAAgAFIATwBVAE4ARAAoADEALgAzADgANQAgACoAIABuAHUAYwAsACAAZABlAGMAKQAsAFwAbgAgACAAIAAgACAAIABSAE8AVQBOAEQAKAAxAC4ANwA3ACAAKgAgAG4AdQBjACwAIABkAGUAYwApACwAXABuACAAIAAgACAAIAAgAFIATwBVAE4ARAAoADQALgA4ADUAIAAqACAAbgB1AGMALAAgAGQAZQBjACkAXABuACAAIAAgACAAKQAsAFwAbgBcAG4AIAAgACAAIAAvAC8AIAAtAC0ALQAgAEYAaQBuAGEAbAAgAG8AdQB0AHAAdQB0ACAAYgBhAHMAZQBkACAAbwBuACAAbQBvAGQAZQAgAC0ALQAtAFwAbgAgACAAIAAgAFMAVwBJAFQAQwBIACgAXABuACAAIAAgACAAIAAgAFUAUABQAEUAUgAoAG0AbwBkAGUAKQAsAFwAbgAgACAAIAAgACAAIABcACIAUwBUAEEATgBEAEEAUgBEAFwAIgAsACAASABTAFQAQQBDAEsAKAByAG8AdwBfADEALAAgAHIAbwB3AF8AMgAsACAAcgBvAHcAXwAzACwAIAByAG8AdwBfADQALAAgAHIAbwB3AF8ANQApACwAXABuACAAIAAgACAAIAAgAFwAIgBUAEEAQgBMAEUAXAAiACwAIAAgACAAIABIAFMAVABBAEMASwAoAHIAbwB3AF8AMQAsACAAcgBvAHcAXwAyACwAIAByAG8AdwBfADMALAAgAHIAbwB3AF8ANAAsACAAcgBvAHcAXwA1ACkALABcAG4AIAAgACAAIAAgACAAXAAiAFYARQBSAFQASQBDAEEATABcACIALAAgAEgAUwBUAEEAQwBLACgAdgBlAHIAdABpAGMAYQBsAF8AbABhAGIAZQBsAHMALAAgAHYAZQByAHQAaQBjAGEAbABfAHYAYQBsAHUAZQBzACkALABcAG4AIAAgACAAIAAgACAAXAAiAEgATwBSAEkAWgBPAE4AVABBAEwAXAAiACwAIABoAG8AcgBpAHoAbwBuAHQAYQBsAF8AdgBhAGwAdQBlAHMALABcAG4AIAAgACAAIAAgACAAXAAiAEkAbgB2AGEAbABpAGQAIABtAG8AZABlAFwAIgBcAG4AIAAgACAAIAApAFwAbgAgACAAKQBcAG4AKQBcAG4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cAG4AQQBTAFQAUgBPAF8AUwBUAEEAUgBfAEQARQBOAFMASQBUAFkAXwBWAE8ATABVAE0ARQAgAD0AIABMAEEATQBCAEQAQQAoAGkAbgBwAHUAdAAsACAAWwBwAHIAZQBjAF0ALAAgAFsAbQBvAGQAZQBdACwAXABuACAAIABMAEUAVAAoAFwAbgAgACAAIAAgAG0AbwBkAGUALAAgAEkARgAoAEkAUwBPAE0ASQBUAFQARQBEACgAbQBvAGQAZQApACAAKwAgACgAbQBvAGQAZQAgADwAIAAwACkAIAArACAAKABtAG8AZABlACAAPgAgADEAKQAsACAAMAAsACAAbQBvAGQAZQApACwAXABuACAAIAAgACAAcAByAGUAYwAsACAASQBGACgASQBTAE8ATQBJAFQAVABFAEQAKABwAHIAZQBjACkAIAArACAAKABwAHIAZQBjACAAPAAgADAAKQAsACAAMwAsACAAcAByAGUAYwApACwAXABuAFwAbgAgACAAIAAgAHYAbwBsAHUAbQBlACwAIABJAEYAKABtAG8AZABlACAAPQAgADAALAAgAGkAbgBwAHUAdAAsACAAKAA0AC8AMwApACAAKgAgAFAASQAoACkAIAAqACAAaQBuAHAAdQB0ACAAXgAgADMAKQAsAFwAbgAgACAAIAAgAHIAYQBkAGkAdQBzACwAIABJAEYAKABtAG8AZABlACAAPQAgADEALAAgAGkAbgBwAHUAdAAsACAAUgBPAFUATgBEACgAKAAoADMAIAAqACAAdgBvAGwAdQBtAGUAKQAgAC8AIAAoADQAIAAqACAAUABJACgAKQApACkAIABeACAAKAAxAC8AMwApACwAIABwAHIAZQBjACkAKQAsAFwAbgAgACAAIAAgAHMAdABhAHIAcwAsACAAUgBPAFUATgBEACgAdgBvAGwAdQBtAGUAIAAvACAAMgA1ADAALAAgAHAAcgBlAGMAKQAsAFwAbgBcAG4AIAAgACAAIABvAHUAdABwAHUAdAAsACAAUwBXAEkAVABDAEgAKABtAG8AZABlACwAXABuACAAIAAgACAAIAAgADAALAAgAFQATwBDAE8ATAAoAFQARQBYAFQAUwBQAEwASQBUACgAVABFAFgAVABKAE8ASQBOACgAXAAiADsAIABcACIALAAgACwAIABcACIAUwB0AGEAcgBzADoAIABcACIAJgBzAHQAYQByAHMALAAgAFwAIgBSAGEAZABpAHUAcwA6ACAAXAAiACYAcgBhAGQAaQB1AHMAKQAsACAAXAAiADsAIABcACIAKQApACwAXABuACAAIAAgACAAIAAgADEALAAgAFQATwBDAE8ATAAoAFQARQBYAFQAUwBQAEwASQBUACgAVABFAFgAVABKAE8ASQBOACgAXAAiADsAIABcACIALAAgACwAIABcACIAUwB0AGEAcgBzADoAIABcACIAJgBzAHQAYQByAHMALAAgAFwAIgBWAG8AbAB1AG0AZQA6ACAAXAAiACYAdgBvAGwAdQBtAGUAKQAsACAAXAAiADsAIABcACIAKQApAFwAbgAgACAAIAAgACkALABcAG4AXABuACAAIAAgACAAbwB1AHQAcAB1AHQAXABu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XABuAEEAUwBUAFIATwBfAFAATABBAE4ARQBUAF8ATQBFAFQAUgBJAEMAUwBfAFMAQQBGAEUAVABZACAAPQAgAEwAQQBNAEIARABBACgAbQBvAGQAZQAsACAAcABhAHIAYQBtAF8AMQAsACAAcABhAHIAYQBtAF8AMgAsACAAWwBwAHIAZQBjAF0ALABcAG4AIAAgAEwARQBUACgAXABuACAAIAAgACAALwAvACAARABlAGYAYQB1AGwAdAAgAHAAcgBlAGMAaQBzAGkAbwBuAFwAbgAgACAAIAAgAHAAcgBlAGMALAAgAEkARgAoAEkAUwBPAE0ASQBUAFQARQBEACgAcAByAGUAYwApACwAIAA1ACwAIABwAHIAZQBjACkALABcAG4AXABuACAAIAAgACAALwAvACAATgBvAHIAbQBhAGwAaQB6AGUAIABpAG4AcAB1AHQAIABtAG8AZABlACAAdABvACAAbABvAHcAZQByAGMAYQBzAGUAXABuACAAIAAgACAAbQBvAGQAZQAsACAATABPAFcARQBSACgAbQBvAGQAZQApACwAXABuAFwAbgAgACAAIAAgAC8ALwAgAEMAbwBtAHAAdQB0AGUAIABiAGEAcwBlAGQAIABvAG4AIABzAGUAbABlAGMAdABlAGQAIABtAG8AZABlAFwAbgAgACAAIAAgAG8AdQB0AHAAdQB0ACwAIABTAFcASQBUAEMASAAoAFwAbgAgACAAIAAgACAAIABtAG8AZABlACwAXABuACAAIAAgACAAIAAgAFwAbgAgACAAIAAgACAAIAAvAC8AIABNAGEAcwBzACAAKwAgAEQAZQBuAHMAaQB0AHkAXABuACAAIAAgACAAIAAgAFwAIgBtAGQAXAAiACwAIABMAEUAVAAoAFwAbgAgACAAIAAgACAAIAAgACAATQAsACAAcABhAHIAYQBtAF8AMQAsAFwAbgAgACAAIAAgACAAIAAgACAAZAAsACAAcABhAHIAYQBtAF8AMgAsAFwAbgAgACAAIAAgACAAIAAgACAAUgAsACAAKABNACAALwAgAGQAKQAgAF4AIAAoADEALwAzACkALABcAG4AIAAgACAAIAAgACAAIAAgAGcALAAgACgATQAgACoAIABkAF4AMgApACAAXgAgACgAMQAvADMAKQAsAFwAbgAgACAAIAAgACAAIAAgACAAdgAsACAAKABNACAAKgAgAFMAUQBSAFQAKABkACkAKQAgAF4AIAAoADEALwAzACkALABcAG4AIAAgACAAIAAgACAAIAAgAEgAUwBUAEEAQwBLACgATQAsACAAUgAsACAAZAAsACAAZwAsACAAdgApAFwAbgAgACAAIAAgACAAIAApACwAXABuAFwAbgAgACAAIAAgACAAIAAvAC8AIABNAGEAcwBzACAAKwAgAFIAYQBkAGkAdQBzAFwAbgAgACAAIAAgACAAIABcACIAbQByAFwAIgAsACAATABFAFQAKABcAG4AIAAgACAAIAAgACAAIAAgAE0ALAAgAHAAYQByAGEAbQBfADEALABcAG4AIAAgACAAIAAgACAAIAAgAFIALAAgAHAAYQByAGEAbQBfADIALABcAG4AIAAgACAAIAAgACAAIAAgAGQALAAgAE0AIAAvACAAUgBeADMALABcAG4AIAAgACAAIAAgACAAIAAgAGcALAAgAE0AIAAvACAAUgBeADIALABcAG4AIAAgACAAIAAgACAAIAAgAHYALAAgAFMAUQBSAFQAKABNACAALwAgAFIAKQAsAFwAbgAgACAAIAAgACAAIAAgACAASABTAFQAQQBDAEsAKABNACwAIABSACwAIABkACwAIABnACwAIAB2ACkAXABuACAAIAAgACAAIAAgACkALABcAG4AXABuACAAIAAgACAAIAAgAC8ALwAgAE0AYQBzAHMAIAArACAARwByAGEAdgBpAHQAeQBcAG4AIAAgACAAIAAgACAAXAAiAG0AZwBcACIALAAgAEwARQBUACgAXABuACAAIAAgACAAIAAgACAAIABNACwAIABwAGEAcgBhAG0AXwAxACwAXABuACAAIAAgACAAIAAgACAAIABnACwAIABwAGEAcgBhAG0AXwAyACwAXABuACAAIAAgACAAIAAgACAAIABSACwAIABTAFEAUgBUACgATQAgAC8AIABnACkALABcAG4AIAAgACAAIAAgACAAIAAgAGQALAAgAFMAUQBSAFQAKABnAF4AMwAgAC8AIABNACkALABcAG4AIAAgACAAIAAgACAAIAAgAHYALAAgACgATQAgACoAIABnACkAIABeACAAMAAuADIANQAsAFwAbgAgACAAIAAgACAAIAAgACAASABTAFQAQQBDAEsAKABNACwAIABSACwAIABkACwAIABnACwAIAB2ACkAXABuACAAIAAgACAAIAAgACkALABcAG4AXABuACAAIAAgACAAIAAgAC8ALwAgAFIAYQBkAGkAdQBzACAAKwAgAEQAZQBuAHMAaQB0AHkAXABuACAAIAAgACAAIAAgAFwAIgByAGQAXAAiACwAIABMAEUAVAAoAFwAbgAgACAAIAAgACAAIAAgACAAUgAsACAAcABhAHIAYQBtAF8AMQAsAFwAbgAgACAAIAAgACAAIAAgACAAZAAsACAAcABhAHIAYQBtAF8AMgAsAFwAbgAgACAAIAAgACAAIAAgACAATQAsACAAZAAgACoAIABSAF4AMwAsAFwAbgAgACAAIAAgACAAIAAgACAAZwAsACAAZAAgACoAIABSACwAXABuACAAIAAgACAAIAAgACAAIAB2ACwAIABSACAAKgAgAFMAUQBSAFQAKABkACkALABcAG4AIAAgACAAIAAgACAAIAAgAEgAUwBUAEEAQwBLACgATQAsACAAUgAsACAAZAAsACAAZwAsACAAdgApAFwAbgAgACAAIAAgACAAIAApACwAXABuAFwAbgAgACAAIAAgACAAIAAvAC8AIABSAGEAZABpAHUAcwAgACsAIABHAHIAYQB2AGkAdAB5AFwAbgAgACAAIAAgACAAIABcACIAcgBnAFwAIgAsACAATABFAFQAKABcAG4AIAAgACAAIAAgACAAIAAgAFIALAAgAHAAYQByAGEAbQBfADEALABcAG4AIAAgACAAIAAgACAAIAAgAGcALAAgAHAAYQByAGEAbQBfADIALABcAG4AIAAgACAAIAAgACAAIAAgAE0ALAAgAGcAIAAqACAAUgBeADIALABcAG4AIAAgACAAIAAgACAAIAAgAGQALAAgAGcAIAAvACAAUgAsAFwAbgAgACAAIAAgACAAIAAgACAAdgAsACAAUwBRAFIAVAAoAGcAIAAqACAAUgApACwAXABuACAAIAAgACAAIAAgACAAIABIAFMAVABBAEMASwAoAE0ALAAgAFIALAAgAGQALAAgAGcALAAgAHYAKQBcAG4AIAAgACAAIAAgACAAKQAsAFwAbgBcAG4AIAAgACAAIAAgACAALwAvACAARABlAG4AcwBpAHQAeQAgACsAIABHAHIAYQB2AGkAdAB5AFwAbgAgACAAIAAgACAAIABcACIAZABnAFwAIgAsACAATABFAFQAKABcAG4AIAAgACAAIAAgACAAIAAgAGQALAAgAHAAYQByAGEAbQBfADEALABcAG4AIAAgACAAIAAgACAAIAAgAGcALAAgAHAAYQByAGEAbQBfADIALABcAG4AIAAgACAAIAAgACAAIAAgAFIALAAgAGcAIAAvACAAZAAsAFwAbgAgACAAIAAgACAAIAAgACAATQAsACAAZwBeADMAIAAvACAAZABeADIALABcAG4AIAAgACAAIAAgACAAIAAgAHYALAAgAGcAIAAvACAAUwBRAFIAVAAoAGQAKQAsAFwAbgAgACAAIAAgACAAIAAgACAASABTAFQAQQBDAEsAKABNACwAIABSACwAIABkACwAIABnACwAIAB2ACkAXABuACAAIAAgACAAIAAgACkALABcAG4AXABuACAAIAAgACAAIAAgAC8ALwAgAEQAZQBuAHMAaQB0AHkAIAArACAARQBzAGMAYQBwAGUAIABWAGUAbABvAGMAaQB0AHkAXABuACAAIAAgACAAIAAgAFwAIgBkAHYAXAAiACwAIABMAEUAVAAoAFwAbgAgACAAIAAgACAAIAAgACAAZAAsACAAcABhAHIAYQBtAF8AMQAsAFwAbgAgACAAIAAgACAAIAAgACAAdgAsACAAcABhAHIAYQBtAF8AMgAsAFwAbgAgACAAIAAgACAAIAAgACAAUgAsACAAdgAgAC8AIABTAFEAUgBUACgAZAApACwAXABuACAAIAAgACAAIAAgACAAIABNACwAIAB2AF4AMwAgAC8AIABTAFEAUgBUACgAZAApACwAXABuACAAIAAgACAAIAAgACAAIABnACwAIAB2ACAAKgAgAFMAUQBSAFQAKABkACkALABcAG4AIAAgACAAIAAgACAAIAAgAEgAUwBUAEEAQwBLACgATQAsACAAUgAsACAAZAAsACAAZwAsACAAdgApAFwAbgAgACAAIAAgACAAIAApACwAXABuAFwAbgAgACAAIAAgACAAIAAvAC8AIABHAHIAYQB2AGkAdAB5ACAAKwAgAEUAcwBjAGEAcABlACAAVgBlAGwAbwBjAGkAdAB5AFwAbgAgACAAIAAgACAAIABcACIAZwB2AFwAIgAsACAATABFAFQAKABcAG4AIAAgACAAIAAgACAAIAAgAGcALAAgAHAAYQByAGEAbQBfADEALABcAG4AIAAgACAAIAAgACAAIAAgAHYALAAgAHAAYQByAGEAbQBfADIALABcAG4AIAAgACAAIAAgACAAIAAgAFIALAAgAHYAXgAyACAALwAgAGcALABcAG4AIAAgACAAIAAgACAAIAAgAE0ALAAgAHYAXgA0ACAALwAgAGcALABcAG4AIAAgACAAIAAgACAAIAAgAGQALAAgACgAZwAgAC8AIAB2ACkAXgAyACwAXABuACAAIAAgACAAIAAgACAAIABIAFMAVABBAEMASwAoAE0ALAAgAFIALAAgAGQALAAgAGcALAAgAHYAKQBcAG4AIAAgACAAIAAgACAAKQAsAFwAbgBcAG4AIAAgACAAIAAgACAALwAvACAATQBhAHMAcwAgACsAIABFAHMAYwBhAHAAZQAgAFYAZQBsAG8AYwBpAHQAeQBcAG4AIAAgACAAIAAgACAAXAAiAG0AdgBcACIALAAgAEwARQBUACgAXABuACAAIAAgACAAIAAgACAAIABNACwAIABwAGEAcgBhAG0AXwAxACwAXABuACAAIAAgACAAIAAgACAAIAB2ACwAIABwAGEAcgBhAG0AXwAyACwAXABuACAAIAAgACAAIAAgACAAIABSACwAIABNACAALwAgAHYAXgAyACwAXABuACAAIAAgACAAIAAgACAAIABnACwAIAB2AF4ANAAgAC8AIABNACwAXABuACAAIAAgACAAIAAgACAAIABkACwAIAB2AF4ANgAgAC8AIABNAF4AMgAsAFwAbgAgACAAIAAgACAAIAAgACAASABTAFQAQQBDAEsAKABNACwAIABSACwAIABkACwAIABnACwAIAB2ACkAXABuACAAIAAgACAAIAAgACkALABcAG4AXABuACAAIAAgACAAIAAgAC8ALwAgAFIAYQBkAGkAdQBzACAAKwAgAEUAcwBjAGEAcABlACAAVgBlAGwAbwBjAGkAdAB5AFwAbgAgACAAIAAgACAAIABcACIAcgB2AFwAIgAsACAATABFAFQAKABcAG4AIAAgACAAIAAgACAAIAAgAFIALAAgAHAAYQByAGEAbQBfADEALABcAG4AIAAgACAAIAAgACAAIAAgAHYALAAgAHAAYQByAGEAbQBfADIALABcAG4AIAAgACAAIAAgACAAIAAgAGcALAAgAHYAXgAyACAALwAgAFIALABcAG4AIAAgACAAIAAgACAAIAAgAE0ALAAgAFIAIAAqACAAdgBeADIALABcAG4AIAAgACAAIAAgACAAIAAgAGQALAAgACgAdgAgAC8AIABSACkAXgAyACwAXABuACAAIAAgACAAIAAgACAAIABIAFMAVABBAEMASwAoAE0ALAAgAFIALAAgAGQALAAgAGcALAAgAHYAKQBcAG4AIAAgACAAIAAgACAAKQAsAFwAbgBcAG4AIAAgACAAIAAgACAALwAvACAARABlAGYAYQB1AGwAdAAgAGYAYQBsAGwAYgBhAGMAawBcAG4AIAAgACAAIAAgACAATgBBACgAKQBcAG4AIAAgACAAIAApACwAXABuAFwAbgAgACAAIAAgAC8ALwAgAEYAbwByAG0AYQB0ACAAdwBpAHQAaAAgAGgAZQBhAGQAZQByAHMAIABhAG4AZAAgAHIAbwB1AG4AZABpAG4AZwBcAG4AIAAgACAAIABoAGUAYQBkAGUAcgBzACwAIAB7AFwAIgBNAFwAIgAsACAAXAAiAFIAXAAiACwAIABcACIAZABcACIALAAgAFwAIgBnAFwAIgAsACAAXAAiAHYAXAAiAH0ALABcAG4AIAAgACAAIAB2AGEAbAB1AGUAcwAsACAAUgBPAFUATgBEACgAbwB1AHQAcAB1AHQALAAgAHAAcgBlAGMAKQAsAFwAbgAgACAAIAAgAEMASABPAE8AUwBFACgAewAxACwAIAAyAH0ALAAgAFQAUgBBAE4AUwBQAE8AUwBFACgAaABlAGEAZABlAHIAcwApACwAIABUAFIAQQBOAFMAUABPAFMARQAoAHYAYQBsAHUAZQBzACkAKQBcAG4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FwAbgBcAG4AQQBTAFQAUgBPAF8AUABMAEEATgBFAFQAXwBNAEUAVABSAEkAQwBTACAAPQAgAEwAQQBNAEIARABBACgAbQBvAGQAZQAsACAAcABhAHIAYQBtAF8AMQAsACAAcABhAHIAYQBtAF8AMgAsACAAWwBwAHIAZQBjAF0ALABcAG4AIAAgAEwARQBUACgAXABuACAAIAAgACAALwAvACAARABlAGYAYQB1AGwAdAAgAHAAcgBlAGMAaQBzAGkAbwBuAFwAbgAgACAAIAAgAHAAcgBlAGMALAAgAEkARgAoAEkAUwBPAE0ASQBUAFQARQBEACgAcAByAGUAYwApACwAIAA1ACwAIABwAHIAZQBjACkALABcAG4AXABuACAAIAAgACAALwAvACAATgBvAHIAbQBhAGwAaQB6AGUAIABpAG4AcAB1AHQAIABtAG8AZABlACAAdABvACAAbABvAHcAZQByAGMAYQBzAGUAXABuACAAIAAgACAAbQBvAGQAZQAsACAATABPAFcARQBSACgAbQBvAGQAZQApACwAXABuAFwAbgAgACAAIAAgAC8ALwAgAEMAbwBtAHAAdQB0AGUAIABiAGEAcwBlAGQAIABvAG4AIABzAGUAbABlAGMAdABlAGQAIABtAG8AZABlAFwAbgAgACAAIAAgAG8AdQB0AHAAdQB0ACwAIABTAFcASQBUAEMASAAoAFwAbgAgACAAIAAgACAAIABtAG8AZABlACwAXABuACAAIAAgACAAIAAgAFwAbgAgACAAIAAgACAAIAAvAC8AIABNAGEAcwBzACAAKwAgAEQAZQBuAHMAaQB0AHkAXABuACAAIAAgACAAIAAgAFwAIgBtAGQAXAAiACwAIABMAEUAVAAoAFwAbgAgACAAIAAgACAAIAAgACAAbQAsACAAcABhAHIAYQBtAF8AMQAsAFwAbgAgACAAIAAgACAAIAAgACAAZAAsACAAcABhAHIAYQBtAF8AMgAsAFwAbgAgACAAIAAgACAAIAAgACAAcgAsACAAKABNACAALwAgAGQAKQAgAF4AIAAoADEALwAzACkALABcAG4AIAAgACAAIAAgACAAIAAgAGcALAAgACgATQAgACoAIABkAF4AMgApACAAXgAgACgAMQAvADMAKQAsAFwAbgAgACAAIAAgACAAIAAgACAAdgAsACAAKABNACAAKgAgAFMAUQBSAFQAKABkACkAKQAgAF4AIAAoADEALwAzACkALABcAG4AIAAgACAAIAAgACAAIAAgAEgAUwBUAEEAQwBLACgATQAsACAAUgAsACAAZAAsACAAZwAsACAAdgApAFwAbgAgACAAIAAgACAAIAApACwAXABuAFwAbgAgACAAIAAgACAAIAAvAC8AIABNAGEAcwBzACAAKwAgAFIAYQBkAGkAdQBzAFwAbgAgACAAIAAgACAAIABcACIAbQByAFwAIgAsACAATABFAFQAKABcAG4AIAAgACAAIAAgACAAIAAgAG0ALAAgAHAAYQByAGEAbQBfADEALABcAG4AIAAgACAAIAAgACAAIAAgAHIALAAgAHAAYQByAGEAbQBfADIALABcAG4AIAAgACAAIAAgACAAIAAgAGQALAAgAE0AIAAvACAAUgBeADMALABcAG4AIAAgACAAIAAgACAAIAAgAGcALAAgAE0AIAAvACAAUgBeADIALABcAG4AIAAgACAAIAAgACAAIAAgAHYALAAgAFMAUQBSAFQAKABNACAALwAgAFIAKQAsAFwAbgAgACAAIAAgACAAIAAgACAASABTAFQAQQBDAEsAKABNACwAIABSACwAIABkACwAIABnACwAIAB2ACkAXABuACAAIAAgACAAIAAgACkALABcAG4AXABuACAAIAAgACAAIAAgAC8ALwAgAE0AYQBzAHMAIAArACAARwByAGEAdgBpAHQAeQBcAG4AIAAgACAAIAAgACAAXAAiAG0AZwBcACIALAAgAEwARQBUACgAXABuACAAIAAgACAAIAAgACAAIABtACwAIABwAGEAcgBhAG0AXwAxACwAXABuACAAIAAgACAAIAAgACAAIABnACwAIABwAGEAcgBhAG0AXwAyACwAXABuACAAIAAgACAAIAAgACAAIAByACwAIABTAFEAUgBUACgATQAgAC8AIABnACkALABcAG4AIAAgACAAIAAgACAAIAAgAGQALAAgAFMAUQBSAFQAKABnAF4AMwAgAC8AIABNACkALABcAG4AIAAgACAAIAAgACAAIAAgAHYALAAgACgATQAgACoAIABnACkAIABeACAAMAAuADIANQAsAFwAbgAgACAAIAAgACAAIAAgACAASABTAFQAQQBDAEsAKABNACwAIABSACwAIABkACwAIABnACwAIAB2ACkAXABuACAAIAAgACAAIAAgACkALABcAG4AXABuACAAIAAgACAAIAAgAC8ALwAgAFIAYQBkAGkAdQBzACAAKwAgAEQAZQBuAHMAaQB0AHkAXABuACAAIAAgACAAIAAgAFwAIgByAGQAXAAiACwAIABMAEUAVAAoAFwAbgAgACAAIAAgACAAIAAgACAAcgAsACAAcABhAHIAYQBtAF8AMQAsAFwAbgAgACAAIAAgACAAIAAgACAAZAAsACAAcABhAHIAYQBtAF8AMgAsAFwAbgAgACAAIAAgACAAIAAgACAAbQAsACAAZAAgACoAIABSAF4AMwAsAFwAbgAgACAAIAAgACAAIAAgACAAZwAsACAAZAAgACoAIABSACwAXABuACAAIAAgACAAIAAgACAAIAB2ACwAIABSACAAKgAgAFMAUQBSAFQAKABkACkALABcAG4AIAAgACAAIAAgACAAIAAgAEgAUwBUAEEAQwBLACgATQAsACAAUgAsACAAZAAsACAAZwAsACAAdgApAFwAbgAgACAAIAAgACAAIAApACwAXABuAFwAbgAgACAAIAAgACAAIAAvAC8AIABSAGEAZABpAHUAcwAgACsAIABHAHIAYQB2AGkAdAB5AFwAbgAgACAAIAAgACAAIABcACIAcgBnAFwAIgAsACAATABFAFQAKABcAG4AIAAgACAAIAAgACAAIAAgAHIALAAgAHAAYQByAGEAbQBfADEALABcAG4AIAAgACAAIAAgACAAIAAgAGcALAAgAHAAYQByAGEAbQBfADIALABcAG4AIAAgACAAIAAgACAAIAAgAG0ALAAgAGcAIAAqACAAUgBeADIALABcAG4AIAAgACAAIAAgACAAIAAgAGQALAAgAGcAIAAvACAAUgAsAFwAbgAgACAAIAAgACAAIAAgACAAdgAsACAAUwBRAFIAVAAoAGcAIAAqACAAUgApACwAXABuACAAIAAgACAAIAAgACAAIABIAFMAVABBAEMASwAoAE0ALAAgAFIALAAgAGQALAAgAGcALAAgAHYAKQBcAG4AIAAgACAAIAAgACAAKQAsAFwAbgBcAG4AIAAgACAAIAAgACAALwAvACAARABlAG4AcwBpAHQAeQAgACsAIABHAHIAYQB2AGkAdAB5AFwAbgAgACAAIAAgACAAIABcACIAZABnAFwAIgAsACAATABFAFQAKABcAG4AIAAgACAAIAAgACAAIAAgAGQALAAgAHAAYQByAGEAbQBfADEALABcAG4AIAAgACAAIAAgACAAIAAgAGcALAAgAHAAYQByAGEAbQBfADIALABcAG4AIAAgACAAIAAgACAAIAAgAHIALAAgAGcAIAAvACAAZAAsAFwAbgAgACAAIAAgACAAIAAgACAAbQAsACAAZwBeADMAIAAvACAAZABeADIALABcAG4AIAAgACAAIAAgACAAIAAgAHYALAAgAGcAIAAvACAAUwBRAFIAVAAoAGQAKQAsAFwAbgAgACAAIAAgACAAIAAgACAASABTAFQAQQBDAEsAKABNACwAIABSACwAIABkACwAIABnACwAIAB2ACkAXABuACAAIAAgACAAIAAgACkALABcAG4AXABuACAAIAAgACAAIAAgAC8ALwAgAEQAZQBuAHMAaQB0AHkAIAArACAARQBzAGMAYQBwAGUAIABWAGUAbABvAGMAaQB0AHkAXABuACAAIAAgACAAIAAgAFwAIgBkAHYAXAAiACwAIABMAEUAVAAoAFwAbgAgACAAIAAgACAAIAAgACAAZAAsACAAcABhAHIAYQBtAF8AMQAsAFwAbgAgACAAIAAgACAAIAAgACAAdgAsACAAcABhAHIAYQBtAF8AMgAsAFwAbgAgACAAIAAgACAAIAAgACAAcgAsACAAdgAgAC8AIABTAFEAUgBUACgAZAApACwAXABuACAAIAAgACAAIAAgACAAIABtACwAIAB2AF4AMwAgAC8AIABTAFEAUgBUACgAZAApACwAXABuACAAIAAgACAAIAAgACAAIABnACwAIAB2ACAAKgAgAFMAUQBSAFQAKABkACkALABcAG4AIAAgACAAIAAgACAAIAAgAEgAUwBUAEEAQwBLACgATQAsACAAUgAsACAAZAAsACAAZwAsACAAdgApAFwAbgAgACAAIAAgACAAIAApACwAXABuAFwAbgAgACAAIAAgACAAIAAvAC8AIABHAHIAYQB2AGkAdAB5ACAAKwAgAEUAcwBjAGEAcABlACAAVgBlAGwAbwBjAGkAdAB5AFwAbgAgACAAIAAgACAAIABcACIAZwB2AFwAIgAsACAATABFAFQAKABcAG4AIAAgACAAIAAgACAAIAAgAGcALAAgAHAAYQByAGEAbQBfADEALABcAG4AIAAgACAAIAAgACAAIAAgAHYALAAgAHAAYQByAGEAbQBfADIALABcAG4AIAAgACAAIAAgACAAIAAgAHIALAAgAHYAXgAyACAALwAgAGcALABcAG4AIAAgACAAIAAgACAAIAAgAG0ALAAgAHYAXgA0ACAALwAgAGcALABcAG4AIAAgACAAIAAgACAAIAAgAGQALAAgACgAZwAgAC8AIAB2ACkAXgAyACwAXABuACAAIAAgACAAIAAgACAAIABIAFMAVABBAEMASwAoAE0ALAAgAFIALAAgAGQALAAgAGcALAAgAHYAKQBcAG4AIAAgACAAIAAgACAAKQAsAFwAbgBcAG4AIAAgACAAIAAgACAALwAvACAATQBhAHMAcwAgACsAIABFAHMAYwBhAHAAZQAgAFYAZQBsAG8AYwBpAHQAeQBcAG4AIAAgACAAIAAgACAAXAAiAG0AdgBcACIALAAgAEwARQBUACgAXABuACAAIAAgACAAIAAgACAAIABtACwAIABwAGEAcgBhAG0AXwAxACwAXABuACAAIAAgACAAIAAgACAAIAB2ACwAIABwAGEAcgBhAG0AXwAyACwAXABuACAAIAAgACAAIAAgACAAIAByACwAIABNACAALwAgAHYAXgAyACwAXABuACAAIAAgACAAIAAgACAAIABnACwAIAB2AF4ANAAgAC8AIABNACwAXABuACAAIAAgACAAIAAgACAAIABkACwAIAB2AF4ANgAgAC8AIABNAF4AMgAsAFwAbgAgACAAIAAgACAAIAAgACAASABTAFQAQQBDAEsAKABNACwAIABSACwAIABkACwAIABnACwAIAB2ACkAXABuACAAIAAgACAAIAAgACkALABcAG4AXABuACAAIAAgACAAIAAgAC8ALwAgAFIAYQBkAGkAdQBzACAAKwAgAEUAcwBjAGEAcABlACAAVgBlAGwAbwBjAGkAdAB5AFwAbgAgACAAIAAgACAAIABcACIAcgB2AFwAIgAsACAATABFAFQAKABcAG4AIAAgACAAIAAgACAAIAAgAHIALAAgAHAAYQByAGEAbQBfADEALABcAG4AIAAgACAAIAAgACAAIAAgAHYALAAgAHAAYQByAGEAbQBfADIALABcAG4AIAAgACAAIAAgACAAIAAgAGcALAAgAHYAXgAyACAALwAgAFIALABcAG4AIAAgACAAIAAgACAAIAAgAG0ALAAgAFIAIAAqACAAdgBeADIALABcAG4AIAAgACAAIAAgACAAIAAgAGQALAAgACgAdgAgAC8AIABSACkAXgAyACwAXABuACAAIAAgACAAIAAgACAAIABIAFMAVABBAEMASwAoAE0ALAAgAFIALAAgAGQALAAgAGcALAAgAHYAKQBcAG4AIAAgACAAIAAgACAAKQAsAFwAbgBcAG4AIAAgACAAIAAgACAALwAvACAARABlAGYAYQB1AGwAdAAgAGYAYQBsAGwAYgBhAGMAawBcAG4AIAAgACAAIAAgACAATgBBACgAKQBcAG4AIAAgACAAIAApACwAXABuAFwAbgAgACAAIAAgAC8ALwAgAEYAbwByAG0AYQB0ACAAdwBpAHQAaAAgAGgAZQBhAGQAZQByAHMAIABhAG4AZAAgAHIAbwB1AG4AZABpAG4AZwBcAG4AIAAgACAAIABoAGUAYQBkAGUAcgBzACwAIABTAFcASQBUAEMASAAoAFwAbgAgACAAIAAgACAAIAAgACAAbQBvAGQAZQAsAFwAbgAgACAAIAAgACAAIAAgACAAXAAiAG0AZABcACIALAAgAHsAXAAiAG0AIACUJ1wAIgAsACAAXAAiAHIAXAAiACwAIABcACIAZAAgAJQnXAAiACwAIABcACIAZwBcACIALAAgAFwAIgB2AFwAIgB9ACwAXABuACAAIAAgACAAIAAgACAAIABcACIAbQByAFwAIgAsACAAewBcACIAbQAgAJQnXAAiACwAIABcACIAcgAgAJQnXAAiACwAIABcACIAZABcACIALAAgAFwAIgBnAFwAIgAsACAAXAAiAHYAXAAiAH0ALABcAG4AIAAgACAAIAAgACAAIAAgAFwAIgBtAGcAXAAiACwAIAB7AFwAIgBtACAAlCdcACIALAAgAFwAIgByAFwAIgAsACAAXAAiAGQAXAAiACwAIABcACIAZwAgAJQnXAAiACwAIABcACIAdgBcACIAfQAsAFwAbgAgACAAIAAgACAAIAAgACAAXAAiAHIAZABcACIALAAgAHsAXAAiAG0AXAAiACwAIABcACIAcgAgAJQnXAAiACwAIABcACIAZAAgAJQnXAAiACwAIABcACIAZwBcACIALAAgAFwAIgB2AFwAIgB9ACwAXABuACAAIAAgACAAIAAgACAAIABcACIAcgBnAFwAIgAsACAAewBcACIAbQBcACIALAAgAFwAIgByACAAlCdcACIALAAgAFwAIgBkAFwAIgAsACAAXAAiAGcAIACUJ1wAIgAsACAAXAAiAHYAXAAiAH0ALABcAG4AIAAgACAAIAAgACAAIAAgAFwAIgBkAGcAXAAiACwAIAB7AFwAIgBtAFwAIgAsACAAXAAiAHIAXAAiACwAIABcACIAZAAgAJQnXAAiACwAIABcACIAZwAgAJQnXAAiACwAIABcACIAdgBcACIAfQAsAFwAbgAgACAAIAAgACAAIAAgACAAXAAiAGQAdgBcACIALAAgAHsAXAAiAG0AXAAiACwAIABcACIAcgBcACIALAAgAFwAIgBkACAAlCdcACIALAAgAFwAIgBnAFwAIgAsACAAXAAiAHYAIACUJ1wAIgB9ACwAXABuACAAIAAgACAAIAAgACAAIABcACIAZwB2AFwAIgAsACAAewBcACIAbQBcACIALAAgAFwAIgByAFwAIgAsACAAXAAiAGQAXAAiACwAIABcACIAZwAgAJQnXAAiACwAIABcACIAdgAgAJQnXAAiAH0ALABcAG4AIAAgACAAIAAgACAAIAAgAFwAIgBtAHYAXAAiACwAIAB7AFwAIgBtACAAlCdcACIALAAgAFwAIgByAFwAIgAsACAAXAAiAGQAXAAiACwAIABcACIAZwBcACIALAAgAFwAIgB2ACAAlCdcACIAfQAsAFwAbgAgACAAIAAgACAAIAAgACAAXAAiAHIAdgBcACIALAAgAHsAXAAiAG0AXAAiACwAIABcACIAcgAgAJQnXAAiACwAIABcACIAZABcACIALAAgAFwAIgBnAFwAIgAsACAAXAAiAHYAIACUJ1wAIgB9ACwAXABuACAAIAAgACAAIAAgACAAIAB7AFwAIgBtAFwAIgAsACAAXAAiAHIAXAAiACwAIABcACIAZABcACIALAAgAFwAIgBnAFwAIgAsACAAXAAiAHYAXAAiAH0AIAAgAC8ALwAgAGYAYQBsAGwAYgBhAGMAawBcAG4AIAAgACAAIAAgACAAIAAgACkALABcAG4AIAAgACAAIAB2AGEAbAB1AGUAcwAsACAAUgBPAFUATgBEACgAbwB1AHQAcAB1AHQALAAgAHAAcgBlAGMAKQAsAFwAbgAgACAAIAAgAEMASABPAE8AUwBFACgAewAxACwAIAAyAH0ALAAgAFQAUgBBAE4AUwBQAE8AUwBFACgAaABlAGEAZABlAHIAcwApACwAIABUAFIAQQBOAFMAUABPAFMARQAoAHYAYQBsAHUAZQBzACkAKQBcAG4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cAG4AXABuAEEAUwBUAFIATwBfAFMAWQBOAE8ARABJAEMAXwBTAE8ATABWAEUAUgAgAD0AXABuAEwAQQBNAEIARABBACgAdgBhAGwAXwAxACwAIAB2AGEAbABfADIALAAgAFsAbQBvAGQAZQBdACwAIABbAGYAbwByAG0AYQB0AF0ALAAgAFsAcAByAGUAYwBdACwAXABuACAAIABMAEUAVAAoAFwAbgAgACAAIAAgAC8ALwAgAEgAYQBuAGQAbABlACAAbwBwAHQAaQBvAG4AYQBsACAAYQByAGcAdQBtAGUAbgB0AHMAXABuACAAIAAgACAAcgBhAHcAXwBtAG8AZABlACwAIABJAEYAKABJAFMATwBNAEkAVABUAEUARAAoAG0AbwBkAGUAKQAgACsAIAAoAG0AbwBkAGUAIAA9ACAAXAAiAFwAIgApACwAIABcACIAUABRAFwAIgAsACAAbQBvAGQAZQApACwAXABuACAAIAAgACAAbgBvAHIAbQBfAG0AbwBkAGUALAAgAFQARQBYAFQASgBPAEkATgAoAFwAIgBcACIALAAsAFMATwBSAFQAKABNAEkARAAoAEwATwBXAEUAUgAoAHIAYQB3AF8AbQBvAGQAZQApACwAUwBFAFEAVQBFAE4AQwBFACgATABFAE4AKAByAGEAdwBfAG0AbwBkAGUAKQApACwAMQApACkAKQAsAFwAbgAgACAAIAAgAG0AbwBkAGUALAAgAG4AbwByAG0AXwBtAG8AZABlACwAXABuAFwAbgAgACAAIAAgAGYAbwByAG0AYQB0ACwAIABJAEYAKABJAFMATwBNAEkAVABUAEUARAAoAGYAbwByAG0AYQB0ACkAIAArACAAKABmAG8AcgBtAGEAdAAgAD0AIABcACIAXAAiACkALAAgAFwAIgBiAGEAcgBlAFwAIgAsACAATABPAFcARQBSACgAZgBvAHIAbQBhAHQAKQApACwAXABuACAAIAAgACAAcAByAGUAYwAsACAASQBGACgASQBTAE8ATQBJAFQAVABFAEQAKABwAHIAZQBjACkALAAgADQALAAgAHAAcgBlAGMAKQAsAFwAbgBcAG4AIAAgACAAIAAvAC8AIABJAG4AcAB1AHQAIAB1AG4AcABhAGMAawBpAG4AZwAgAGIAeQAgAG0AbwBkAGUAXABuACAAIAAgACAAUABfAGkAbgAsACAASQBGACgATwBSACgAbQBvAGQAZQA9AFwAIgBwAHEAXAAiACwAIABtAG8AZABlAD0AXAAiAHAAcwBcACIAKQAsACAAdgBhAGwAXwAxACwAIABOAEEAKAApACkALABcAG4AIAAgACAAIABRAF8AaQBuACwAIABJAEYAKABtAG8AZABlAD0AXAAiAHAAcQBcACIALAAgAHYAYQBsAF8AMgAsACAASQBGACgAbQBvAGQAZQA9AFwAIgBxAHMAXAAiACwAIAB2AGEAbABfADEALAAgAE4AQQAoACkAKQApACwAXABuACAAIAAgACAAUwBfAGkAbgAsACAASQBGACgATwBSACgAbQBvAGQAZQA9AFwAIgBwAHMAXAAiACwAIABtAG8AZABlAD0AXAAiAHEAcwBcACIAKQAsACAAdgBhAGwAXwAyACwAIABOAEEAKAApACkALABcAG4AXABuACAAIAAgACAALwAvACAAUAAgAGEAbgBkACAAUQAgAG8AcgBkAGUAcgBpAG4AZwAgAG8AbgBsAHkAIAB1AHMAZQBkACAAaQBuACAAJwBwAHEAJwAgAG0AbwBkAGUAXABuACAAIAAgACAAUAAsACAASQBGACgAQQBOAEQAKABJAFMATgBVAE0AQgBFAFIAKABQAF8AaQBuACkALAAgAEkAUwBOAFUATQBCAEUAUgAoAFEAXwBpAG4AKQApACwAIABNAEEAWAAoAFAAXwBpAG4ALAAgAFEAXwBpAG4AKQAsACAAUABfAGkAbgApACwAXABuACAAIAAgACAAUQAsACAASQBGACgAQQBOAEQAKABJAFMATgBVAE0AQgBFAFIAKABQAF8AaQBuACkALAAgAEkAUwBOAFUATQBCAEUAUgAoAFEAXwBpAG4AKQApACwAIABNAEkATgAoAFAAXwBpAG4ALAAgAFEAXwBpAG4AKQAsACAAUQBfAGkAbgApACwAXABuAFwAbgAgACAAIAAgAC8ALwAgAFMAeQBuAG8AZABpAGMAIABwAGUAcgBpAG8AZAAgAGMAYQBsAGMAdQBsAGEAdABpAG8AbgBcAG4AIAAgACAAIABTAF8AYwBhAGwAYwAsACAASQBGACgAUAAgAD0AIABRACwAIABOAEEAKAApACwAIABSAE8AVQBOAEQAKAAoAFAAIAAqACAAUQApACAALwAgACgAUAAgAC0AIABRACkALAAgAHAAcgBlAGMAKQApACwAXABuAFwAbgAgACAAIAAgAC8ALwAgAEQAaQByAGUAYwB0AGkAbwBuAC0AYQB3AGEAcgBlACAAaQBuAHYAZQByAHMAZQAgAGMAYQBsAGMAdQBsAGEAdABpAG8AbgBzAFwAbgAgACAAIAAgAFEAXwBjAGEAbABjACwAIABJAEYAKABPAFIAKABOAE8AVAAoAEkAUwBOAFUATQBCAEUAUgAoAFAAKQApACwAIABOAE8AVAAoAEkAUwBOAFUATQBCAEUAUgAoAFMAXwBpAG4AKQApACkALAAgAE4AQQAoACkALABcAG4AIAAgACAAIAAgACAAIAAgACAAIAAgACAAIAAgACAAIABSAE8AVQBOAEQAKAAoAFAAIAAqACAAUwBfAGkAbgApACAALwAgAEEAQgBTACgAUAAgAC0AIABTAF8AaQBuACkALAAgAHAAcgBlAGMAKQApACwAXABuAFwAbgAgACAAIAAgAFAAXwBjAGEAbABjACwAIABJAEYAKABPAFIAKABOAE8AVAAoAEkAUwBOAFUATQBCAEUAUgAoAFEAKQApACwAIABOAE8AVAAoAEkAUwBOAFUATQBCAEUAUgAoAFMAXwBpAG4AKQApACkALAAgAE4AQQAoACkALABcAG4AIAAgACAAIAAgACAAIAAgACAAIAAgACAAIAAgACAAIABSAE8AVQBOAEQAKAAoAFEAIAAqACAAUwBfAGkAbgApACAALwAgAEEAQgBTACgAUQAgAC0AIABTAF8AaQBuACkALAAgAHAAcgBlAGMAKQApACwAXABuAFwAbgAgACAAIAAgAC8ALwAgAFMAZQBsAGUAYwB0AGUAZAAgAHIAZQBzAHUAbAB0ACAAdgBhAGwAdQBlAHMAXABuACAAIAAgACAAUABfAHYAYQBsACwAIABJAEYAKABtAG8AZABlACAAPQAgAFwAIgBxAHMAXAAiACwAIABQAF8AYwBhAGwAYwAsACAAUAApACwAXABuACAAIAAgACAAUQBfAHYAYQBsACwAIABJAEYAKABtAG8AZABlACAAPQAgAFwAIgBwAHMAXAAiACwAIABRAF8AYwBhAGwAYwAsACAAUQApACwAXABuACAAIAAgACAAUwBfAHYAYQBsACwAIABJAEYAKABtAG8AZABlACAAPQAgAFwAIgBwAHEAXAAiACwAIABTAF8AYwBhAGwAYwAsACAAUwBfAGkAbgApACwAXABuAFwAbgAgACAAIAAgAC8ALwAgAFMAbwBsAHYAZQBkACAAbABhAGIAZQBsAFwAbgAgACAAIAAgAGwAYQBiAGUAbAAsACAAUwBXAEkAVABDAEgAKABtAG8AZABlACwAIABcACIAcABxAFwAIgAsACAAXAAiAFMAXAAiACwAIABcACIAcABzAFwAIgAsACAAXAAiAFEAXAAiACwAIABcACIAcQBzAFwAIgAsACAAXAAiAFAAXAAiACwAIABcACIAPwBcACIAKQAsAFwAbgBcAG4AIAAgACAAIAAvAC8AIABQAHIAaQBtAGEAcgB5ACAAcwBjAGEAbABhAHIAIAByAGUAcwB1AGwAdABcAG4AIAAgACAAIAByAGUAcwB1AGwAdAAsACAAUwBXAEkAVABDAEgAKABtAG8AZABlACwAIABcACIAcABxAFwAIgAsACAAUwBfAGMAYQBsAGMALAAgAFwAIgBwAHMAXAAiACwAIABRAF8AYwBhAGwAYwAsACAAXAAiAHEAcwBcACIALAAgAFAAXwBjAGEAbABjACwAIABOAEEAKAApACkALABcAG4AXABuACAAIAAgACAALwAvACAAVgBlAHIAYgBvAHMAZQAgAHQAZQB4AHQAIABvAHUAdABwAHUAdABcAG4AIAAgACAAIAB2AGUAcgBiAG8AcwBlAF8AbwB1AHQALABcAG4AIAAgACAAIAAgACAAXAAiAFAAIAA9ACAAXAAiACAAJgAgAEkARgAoAEkAUwBOAFUATQBCAEUAUgAoAFAAXwB2AGEAbAApACwAIABJAEYAKABtAG8AZABlACAAPQAgAFwAIgBxAHMAXAAiACwAIABcACIAHiYgAFwAIgAgACYAIABQAF8AdgBhAGwALAAgAFAAXwB2AGEAbAApACwAIABcACIAFCBcACIAKQAgACYAIABcACIALAAgAFwAIgAgACYAXABuACAAIAAgACAAIAAgAFwAIgBRACAAPQAgAFwAIgAgACYAIABJAEYAKABJAFMATgBVAE0AQgBFAFIAKABRAF8AdgBhAGwAKQAsACAASQBGACgAbQBvAGQAZQAgAD0AIABcACIAcABzAFwAIgAsACAAXAAiAB4mIABcACIAIAAmACAAUQBfAHYAYQBsACwAIABRAF8AdgBhAGwAKQAsACAAXAAiABQgXAAiACkAIAAmACAAXAAiACwAIABcACIAIAAmAFwAbgAgACAAIAAgACAAIABcACIAUwAgAD0AIABcACIAIAAmACAASQBGACgASQBTAE4AVQBNAEIARQBSACgAUwBfAHYAYQBsACkALAAgAEkARgAoAG0AbwBkAGUAIAA9ACAAXAAiAHAAcQBcACIALAAgAFwAIgAeJiAAXAAiACAAJgAgAFMAXwB2AGEAbAAsACAAUwBfAHYAYQBsACkALAAgAFwAIgAUIFwAIgApACwAXABuAFwAbgAgACAAIAAgAC8ALwAgAFMAcABpAGwAbABhAGIAbABlACAAdABhAGIAdQBsAGEAcgAgAG8AdQB0AHAAdQB0AHMAXABuACAAIAAgACAAcgBvAHcAXwBvAHUAdAAsAFwAbgAgACAAIAAgACAAIABWAFMAVABBAEMASwAoAFwAbgAgACAAIAAgACAAIAAgACAASABTAFQAQQBDAEsAKABcAG4AIAAgACAAIAAgACAAIAAgACAAIABJAEYAKABtAG8AZABlAD0AXAAiAHEAcwBcACIALAAgAFwAIgBQACAAHiZcACIALAAgAFwAIgBQACAAPQBcACIAKQAsAFwAbgAgACAAIAAgACAAIAAgACAAIAAgAEkARgAoAG0AbwBkAGUAPQBcACIAcABzAFwAIgAsACAAXAAiAFEAIAAeJlwAIgAsACAAXAAiAFEAIAA9AFwAIgApACwAXABuACAAIAAgACAAIAAgACAAIAAgACAASQBGACgAbQBvAGQAZQA9AFwAIgBwAHEAXAAiACwAIABcACIAUwAgAB4mXAAiACwAIABcACIAUwAgAD0AXAAiACkAXABuACAAIAAgACAAIAAgACAAIAApACwAXABuACAAIAAgACAAIAAgACAAIABIAFMAVABBAEMASwAoAFAAXwB2AGEAbAAsACAAUQBfAHYAYQBsACwAIABTAF8AdgBhAGwAKQBcAG4AIAAgACAAIAAgACAAKQAsAFwAbgBcAG4AIAAgACAAIABjAG8AbABfAG8AdQB0ACwAXABuACAAIAAgACAAIAAgAFYAUwBUAEEAQwBLACgAXABuACAAIAAgACAAIAAgACAAIABIAFMAVABBAEMASwAoAEkARgAoAG0AbwBkAGUAPQBcACIAcQBzAFwAIgAsACAAXAAiAFAAIAAeJlwAIgAsACAAXAAiAFAAIAA9AFwAIgApACwAIABQAF8AdgBhAGwAKQAsAFwAbgAgACAAIAAgACAAIAAgACAASABTAFQAQQBDAEsAKABJAEYAKABtAG8AZABlAD0AXAAiAHAAcwBcACIALAAgAFwAIgBRACAAHiZcACIALAAgAFwAIgBRACAAPQBcACIAKQAsACAAUQBfAHYAYQBsACkALABcAG4AIAAgACAAIAAgACAAIAAgAEgAUwBUAEEAQwBLACgASQBGACgAbQBvAGQAZQA9AFwAIgBwAHEAXAAiACwAIABcACIAUwAgAB4mXAAiACwAIABcACIAUwAgAD0AXAAiACkALAAgAFMAXwB2AGEAbAApAFwAbgAgACAAIAAgACAAIAApACwAXABuAFwAbgAgACAAIAAgAC8ALwAgAEYAaQBuAGEAbAAgAHMAdwBpAHQAYwBoACAAZgBvAHIAIAByAGUAdAB1AHIAbgAgAHQAeQBwAGUAXABuACAAIAAgACAAbwB1AHQAcAB1AHQALABcAG4AIAAgACAAIAAgACAAUwBXAEkAVABDAEgAKABmAG8AcgBtAGEAdAAsAFwAbgAgACAAIAAgACAAIAAgACAAXAAiAGIAYQByAGUAXAAiACwAIAByAGUAcwB1AGwAdAAsAFwAbgAgACAAIAAgACAAIAAgACAAXAAiAGwAYQBiAGUAbABlAGQAXAAiACwAIABsAGEAYgBlAGwAIAAmACAAXAAiACAAPQAgAFwAIgAgACYAIAByAGUAcwB1AGwAdAAsAFwAbgAgACAAIAAgACAAIAAgACAAXAAiAHYAZQByAGIAbwBzAGUAXAAiACwAIAB2AGUAcgBiAG8AcwBlAF8AbwB1AHQALABcAG4AIAAgACAAIAAgACAAIAAgAFwAIgByAG8AdwBcACIALAAgAHIAbwB3AF8AbwB1AHQALABcAG4AIAAgACAAIAAgACAAIAAgAFwAIgBjAG8AbABcACIALAAgAGMAbwBsAF8AbwB1AHQALABcAG4AIAAgACAAIAAgACAAIAAgAFwAIgBJAG4AdgBhAGwAaQBkACAAZgBvAHIAbQBhAHQAXAAiAFwAbgAgACAAIAAgACAAIAApACwAXABuAFwAbgAgACAAIAAgAG8AdQB0AHAAdQB0AFwAbgAgACAAKQBcAG4AKQA7AFwAbgBcAG4ALwAqACAAQQBTAFQAUgBPAF8AUwBZAE4ATwBEAEkAQwBfAFAAUQBcAG4AIAAgACAAUAB1AHIAcABvAHMAZQA6AFwAbgAgACAAIABDAGEAbABjAHUAbABhAHQAZQBzACAAdABoAGUAIABzAHkAbgBvAGQAaQBjACAAcABlAHIAaQBvAGQAIAAoAFMAKQAgAGIAZQB0AHcAZQBlAG4AIAB0AHcAbwAgAHAAbABhAG4AZQB0AGEAcgB5ACAAYgBvAGQAaQBlAHMAXABuACAAIAAgAGIAYQBzAGUAZAAgAG8AbgAgAHQAaABlAGkAcgAgAHMAaQBkAGUAcgBlAGEAbAAgAG8AcgBiAGkAdABhAGwAIABwAGUAcgBpAG8AZABzACAAUAAgAGEAbgBkACAAUQAuAFwAbgBcAG4AIAAgACAAUABhAHIAYQBtAGUAdABlAHIAcwA6AFwAbgAgACAAIAAtACAAUAAgACgAcgBlAHEAdQBpAHIAZQBkACkAOgAgAFMAaQBkAGUAcgBlAGEAbAAgAG8AcgBiAGkAdABhAGwAIABwAGUAcgBpAG8AZAAgAG8AZgAgAHQAaABlACAAaQBuAG4AZQByACAAKABmAGEAcwB0AGUAcgApACAAYgBvAGQAeQBcAG4AIAAgACAALQAgAFEAIAAoAHIAZQBxAHUAaQByAGUAZAApADoAIABTAGkAZABlAHIAZQBhAGwAIABvAHIAYgBpAHQAYQBsACAAcABlAHIAaQBvAGQAIABvAGYAIAB0AGgAZQAgAG8AdQB0AGUAcgAgACgAcwBsAG8AdwBlAHIAKQAgAGIAbwBkAHkAXABuACAAIAAgAC0AIABvAHUAdABwAHUAdAAgACgAbwBwAHQAaQBvAG4AYQBsACkAOgAgAE8AdQB0AHAAdQB0ACAAZgBvAHIAbQBhAHQALgAgAFwAbgAgACAAIAAgACAAIAAgAC0AIABcACIAYgBhAHIAZQBcACIAIAA9ACAAUgBlAHQAdQByAG4AcwAgAHMAeQBuAG8AZABpAGMAIABwAGUAcgBpAG8AZAAgAG8AbgBsAHkAIAAoAGQAZQBmAGEAdQBsAHQAKQBcAG4AIAAgACAAIAAgACAAIAAtACAAXAAiAHYAZQByAGIAbwBzAGUAXAAiACAAPQAgAFIAZQB0AHUAcgBuAHMAIABhACAAMgAtAGMAbwBsAHUAbQBuACAAdgBlAHIAdABpAGMAYQBsACAAdABhAGIAbABlADoAIABQACwAIABRACwAIABTACwAIAB3AGkAdABoACAAdABoAGUAIAByAGUAcwB1AGwAdAAgAGYAbABhAGcAZwBlAGQAIAAoAB4mKQBcAG4AIAAgACAALQAgAHAAcgBlAGMAIAAoAG8AcAB0AGkAbwBuAGEAbAApADoAIABEAGUAYwBpAG0AYQBsACAAcAByAGUAYwBpAHMAaQBvAG4AIAAoAGQAZQBmAGEAdQBsAHQAIAA9ACAANAApAFwAbgBcAG4AIAAgACAAUgBlAHQAdQByAG4AcwA6AFwAbgAgACAAIAAtACAAUwB5AG4AbwBkAGkAYwAgAHAAZQByAGkAbwBkACAAKABiAGEAcgBlACkALAAgAG8AcgBcAG4AIAAgACAALQAgAFYAZQByAGIAbwBzAGUAIAAyAC0AYwBvAGwAdQBtAG4AIABhAHIAcgBhAHkAIAB3AGkAdABoACAAbABhAGIAZQBsAGUAZAAgAFAALAAgAFEALAAgAGEAbgBkACAAUwAgAHYAYQBsAHUAZQBzAFwAbgAgACAAIAAgACAAKABTACAAaQBzACAAZgBsAGEAZwBnAGUAZAAgAHcAaQB0AGgAIABhACAAHiYgAHQAbwAgAGkAbgBkAGkAYwBhAHQAZQAgAGkAdAAnAHMAIAB0AGgAZQAgAHMAbwBsAHYAZQBkACAAdgBhAGwAdQBlACkAXABuAFwAbgAgACAAIABOAG8AdABlAHMAOgBcAG4AIAAgACAALQAgAFMAIAA9ACAAKABQACAA1wAgAFEAKQAgAC8AIAB8AFAAIAASIiAAUQB8ACwAIABhAHMAcwB1AG0AaQBuAGcAIABQACAAYCIgAFEAXABuACAAIAAgAC0AIABJAG4AcAB1AHQAcwAgAG0AYQB5ACAAYgBlACAAcAByAG8AdgBpAGQAZQBkACAAaQBuACAAYQBuAHkAIABvAHIAZABlAHIAOwAgAHQAaABlACAAZgB1AG4AYwB0AGkAbwBuACAAaQBuAHQAZQByAG4AYQBsAGwAeQAgAGEAcwBzAGkAZwBuAHMAIABQAC8AUQAgAGYAbwByACAAYwBvAHIAcgBlAGMAdAAgAGMAYQBsAGMAdQBsAGEAdABpAG8AbgBcAG4AIAAgACAALQAgAFUAcwBlAGYAdQBsACAAZgBvAHIAIABwAHIAZQBkAGkAYwB0AGkAbgBnACAAYwBvAG4AagB1AG4AYwB0AGkAbwBuACAAaQBuAHQAZQByAHYAYQBsAHMAIABvAHIAIABvAHIAYgBpAHQAYQBsACAAcgBlAHMAbwBuAGEAbgBjAGUAIABtAG8AZABlAGwAaQBuAGcAXABuAFwAbgAgACAAIABFAHgAYQBtAHAAbABlADoAXABuACAAIAAgAEEAUwBUAFIATwBfAFMAWQBOAE8ARABJAEMAXwBQAFEAKAAzADYANQAuADIANQAsACAANgA4ADcALAAgAFwAIgB2AGUAcgBiAG8AcwBlAFwAIgAsACAANAApAFwAbgAgACAAIAAgACAAkiFcAG4AIAAgACAAIAAgACAAIABQACAAPQAgACAAIAAgACAAIAAzADYANQAuADIANQBcAG4AIAAgACAAIAAgACAAIABRACAAPQAgACAAIAAgACAAIAA2ADgANwBcAG4AIAAgACAAIAAgACAAIABTACAAHiYgAD0AIAAgACAAIAA3ADcAOQAuADgAOAAxADEAXABuACoALwBcAG4AXABuAFwAbgBBAFMAVABSAE8AXwBTAFkATgBPAEQASQBDAF8AUABRACAAPQBcAG4ATABBAE0AQgBEAEEAKABQACwAIABRACwAIABbAG8AdQB0AHAAdQB0AF0ALAAgAFsAcAByAGUAYwBdACwAXABuACAAIABMAEUAVAAoAFwAbgAgACAAIAAgAC8ALwAgAEgAYQBuAGQAbABlACAAbwBwAHQAaQBvAG4AYQBsACAAYQByAGcAdQBtAGUAbgB0AHMAXABuACAAIAAgACAAbQBvAGQAZQAsACAASQBGACgASQBTAE8ATQBJAFQAVABFAEQAKABvAHUAdABwAHUAdAApACAAKwAgACgAbwB1AHQAcAB1AHQAIAA9ACAAXAAiAFwAIgApACwAIABcACIAYgBhAHIAZQBcACIALAAgAEwATwBXAEUAUgAoAG8AdQB0AHAAdQB0ACkAKQAsAFwAbgAgACAAIAAgAGQAaQBnAGkAdABzACwAIABJAEYAKABJAFMATwBNAEkAVABUAEUARAAoAHAAcgBlAGMAKQAsACAANAAsACAAcAByAGUAYwApACwAXABuAFwAbgAgACAAIAAgAC8ALwAgAFMAbwByAHQAIABmAG8AcgAgAHMAdABhAGIAaQBsAGkAdAB5ACAAaQBuACAAcwB5AG4AbwBkAGkAYwAgAGMAYQBsAGMAdQBsAGEAdABpAG8AbgBcAG4AIAAgACAAIABBACwAIABNAEEAWAAoAFAALAAgAFEAKQAsAFwAbgAgACAAIAAgAEIALAAgAE0ASQBOACgAUAAsACAAUQApACwAXABuAFwAbgAgACAAIAAgAC8ALwAgAEMAYQBsAGMAdQBsAGEAdABlACAAcwB5AG4AbwBkAGkAYwAgAHAAZQByAGkAbwBkAFwAbgAgACAAIAAgAFMALAAgAFIATwBVAE4ARAAoACgAQQAgACoAIABCACkAIAAvACAAKABBACAALQAgAEIAKQAsACAAZABpAGcAaQB0AHMAKQAsAFwAbgBcAG4AIAAgACAAIAAvAC8AIABUAHcAbwAtAGMAbwBsAHUAbQBuACAAdgBlAHIAYgBvAHMAZQAgAG8AdQB0AHAAdQB0ACAAKABsAGEAYgBlAGwAcwAgAHAAcgBlAHMAZQByAHYAZQBkACkAXABuACAAIAAgACAAdgBlAHIAYgBvAHMAZQAsAFwAbgAgACAAIAAgACAAIABWAFMAVABBAEMASwAoAFwAbgAgACAAIAAgACAAIAAgACAASABTAFQAQQBDAEsAKABcACIAUAAgAD0AXAAiACwAIABQACkALABcAG4AIAAgACAAIAAgACAAIAAgAEgAUwBUAEEAQwBLACgAXAAiAFEAIAA9AFwAIgAsACAAUQApACwAXABuACAAIAAgACAAIAAgACAAIABIAFMAVABBAEMASwAoAFwAIgBTACAAHiZcACIALAAgAFMAKQBcAG4AIAAgACAAIAAgACAAKQAsAFwAbgBcAG4AIAAgACAAIAAvAC8AIABPAHUAdABwAHUAdAAgAHMAZQBsAGUAYwB0AGkAbwBuAFwAbgAgACAAIAAgAHIAZQBzAHUAbAB0ACwAIABJAEYAKABtAG8AZABlACAAPQAgAFwAIgB2AGUAcgBiAG8AcwBlAFwAIgAsACAAdgBlAHIAYgBvAHMAZQAsACAAUwApACwAXABuAFwAbgAgACAAIAAgAHIAZQBzAHUAbAB0AFwAbgAgACAAKQBcAG4AKQA7AFwAbgBcAG4ALwAqACAAQQBTAFQAUgBPAF8AUwBZAE4ATwBEAEkAQwBfAFAAUwBcAG4AIAAgACAAUAB1AHIAcABvAHMAZQA6AFwAbgAgACAAIABDAGEAbABjAHUAbABhAHQAZQBzACAAdABoAGUAIABzAGkAZABlAHIAZQBhAGwAIABvAHIAYgBpAHQAYQBsACAAcABlAHIAaQBvAGQAIABRACAAbwBmACAAdABoAGUAIABvAHUAdABlAHIAIABiAG8AZAB5AFwAbgAgACAAIABiAGEAcwBlAGQAIABvAG4AIAB0AGgAZQAgAHMAeQBuAG8AZABpAGMAIABwAGUAcgBpAG8AZAAgACgAUwApACAAYQBuAGQAIAB0AGgAZQAgAGsAbgBvAHcAbgAgAGkAbgBuAGUAcgAgAG8AcgBiAGkAdABhAGwAIABwAGUAcgBpAG8AZAAgACgAUAApAC4AXABuAFwAbgAgACAAIABQAGEAcgBhAG0AZQB0AGUAcgBzADoAXABuACAAIAAgAC0AIABQACAAKAByAGUAcQB1AGkAcgBlAGQAKQA6ACAAUwBpAGQAZQByAGUAYQBsACAAbwByAGIAaQB0AGEAbAAgAHAAZQByAGkAbwBkACAAbwBmACAAdABoAGUAIABpAG4AbgBlAHIAIAAoAGYAYQBzAHQ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EAIABvAG4AbAB5ACAAKABkAGUAZgBhAHUAbAB0ACkAXABuACAAIAAgACAAIAAgACAALQAgAFwAIgB2AGUAcgBiAG8AcwBlAFwAIgAgAD0AIABSAGUAdAB1AHIAbgBzACAAYQAgADIALQBjAG8AbAB1AG0AbgAgAHYAZQByAHQAaQBjAGEAbAAgAHQAYQBiAGwAZQA6ACAAUAAsACAAUQAsACAAUwAsACAAdwBpAHQAaAAgAFE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QAgACgAYgBhAHIAZQApACwAIABvAHIAXABuACAAIAAgAC0AIABWAGUAcgBiAG8AcwBlACAAMgAtAGMAbwBsAHUAbQBuACAAYQByAHIAYQB5ACAAdwBpAHQAaAAgAGwAYQBiAGUAbABlAGQAIABQACwAIABRACwAIABhAG4AZAAgAFMAIAB2AGEAbAB1AGUAcwBcAG4AIAAgACAAIAAgACgAUQAgAGkAcwAgAGYAbABhAGcAZwBlAGQAIAB3AGkAdABoACAAHiYgAHQAbwAgAGkAbgBkAGkAYwBhAHQAZQAgAGkAdAAnAHMAIAB0AGgAZQAgAHMAbwBsAHYAZQBkACAAdgBhAGwAdQBlACkAXABuAFwAbgAgACAAIABOAG8AdABlAHMAOgBcAG4AIAAgACAALQAgAFEAIAA9ACAAKABQACAA1wAgAFMAKQAgAC8AIAAoAFAAIAASIiAAUwApAFwAbgAgACAAIAAtACAAQQBzAHMAdQBtAGUAcwAgAFMAIAA8ACAAUAAgACgAcwB5AG4AbwBkAGkAYwAgAHAAZQByAGkAbwBkACAAbQB1AHMAdAAgAGIAZQAgAHMAaABvAHIAdABlAHIAIAB0AGgAYQBuACAAcwBsAG8AdwBlAHIAIABiAG8AZAB5ACcAcwAgAG8AcgBiAGkAdAApAFwAbgAgACAAIAAtACAARABlAHMAaQBnAG4AZQBkACAAZgBvAHIAIABzAHkAcwB0AGUAbQBzACAAdwBoAGUAcgBlACAAcwB5AG4AbwBkAGkAYwAgAGkAbgB0AGUAcgB2AGEAbABzACAAYQByAGUAIABtAGUAYQBzAHUAcgBlAGQAIABhAG4AZAAgAGkAbgBuAGUAcgAgAGIAbwBkAHkAIABpAHMAIABrAG4AbwB3AG4AXABuAFwAbgAgACAAIABFAHgAYQBtAHAAbABlADoAXABuACAAIAAgAEEAUwBUAFIATwBfAFMAWQBOAE8ARABJAEMAXwBQAFMAKAAzADYANQAuADIANQAsACAANwA3ADkALgA4ADgAMQAxACwAIABcACIAdgBlAHIAYgBvAHMAZQBcACIALAAgADQAKQBcAG4AIAAgACAAIAAgAJIhXABuACAAIAAgACAAIAAgACAAUAAgAD0AIAAgACAAIAAgACAAMwA2ADUALgAyADUAXABuACAAIAAgACAAIAAgACAAUQAgAB4mIAA9ACAAIAAgACAANgA4ADcAXABuACAAIAAgACAAIAAgACAAUwAgAD0AIAAgACAAIAAgACAANwA3ADkALgA4ADgAMQAxAFwAbgAqAC8AXABuAFwAbgBcAG4AQQBTAFQAUgBPAF8AUwBZAE4ATwBEAEkAQwBfAFAAUwAgAD0AXABuAEwAQQBNAEIARABBACgAUAAsACAAUwAsACAAWwBvAHUAdABwAHUAdABdACwAIABbAHAAcgBlAGMAXQAsAFwAbgAgACAATABFAFQAKABcAG4AIAAgACAAIAAvAC8AIABPAHAAdABpAG8AbgBhAGwAIABhAHIAZwB1AG0AZQBuAHQAIABoAGEAbgBkAGwAaQBuAGcAXABuACAAIAAgACAAbQBvAGQAZQAsACAASQBGACgASQBTAE8ATQBJAFQAVABFAEQAKABvAHUAdABwAHUAdAApACAAKwAgACgAbwB1AHQAcAB1AHQAIAA9ACAAXAAiAFwAIgApACwAIABcACIAYgBhAHIAZQBcACIALAAgAEwATwBXAEUAUgAoAG8AdQB0AHAAdQB0ACkAKQAsAFwAbgAgACAAIAAgAGQAaQBnAGkAdABzACwAIABJAEYAKABJAFMATwBNAEkAVABUAEUARAAoAHAAcgBlAGMAKQAsACAANAAsACAAcAByAGUAYwApACwAXABuAFwAbgAgACAAIAAgAC8ALwAgAEMAbwBtAHAAdQB0AGUAIABRACAAKABvAHUAdABlAHIAIABvAHIAYgBpAHQAKQBcAG4AIAAgACAAIABRACwAIABSAE8AVQBOAEQAKAAoAFAAIAAqACAAUwApACAALwAgAEEAQgBTACgAUAAgAC0AIABTACkALAAgAGQAaQBnAGkAdABzACkALABcAG4AXABuACAAIAAgACAALwAvACAAVgBlAHIAYgBvAHMAZQAgAHMAcABpAGwAbAAgAG8AdQB0AHAAdQB0AFwAbgAgACAAIAAgAHYAZQByAGIAbwBzAGUALABcAG4AIAAgACAAIAAgACAAVgBTAFQAQQBDAEsAKABcAG4AIAAgACAAIAAgACAAIAAgAEgAUwBUAEEAQwBLACgAXAAiAFAAIAA9AFwAIgAsACAAUAApACwAXABuACAAIAAgACAAIAAgACAAIABIAFMAVABBAEMASwAoAFwAIgBRACAAHiZcACIALAAgAFEAKQAsAFwAbgAgACAAIAAgACAAIAAgACAASABTAFQAQQBDAEsAKABcACIAUwAgAD0AXAAiACwAIABTACkAXABuACAAIAAgACAAIAAgACkALABcAG4AXABuACAAIAAgACAALwAvACAATwB1AHQAcAB1AHQAIABjAGgAbwBpAGMAZQBcAG4AIAAgACAAIAByAGUAcwB1AGwAdAAsACAASQBGACgAbQBvAGQAZQAgAD0AIABcACIAdgBlAHIAYgBvAHMAZQBcACIALAAgAHYAZQByAGIAbwBzAGUALAAgAFEAKQAsAFwAbgBcAG4AIAAgACAAIAByAGUAcwB1AGwAdABcAG4AIAAgACkAXABuACkAOwBcAG4AXABuAC8AKgAgAEEAUwBUAFIATwBfAFMAWQBOAE8ARABJAEMAXwBRAFMAXABuACAAIAAgAFAAdQByAHAAbwBzAGUAOgBcAG4AIAAgACAAQwBhAGwAYwB1AGwAYQB0AGUAcwAgAHQAaABlACAAcwBpAGQAZQByAGUAYQBsACAAbwByAGIAaQB0AGEAbAAgAHAAZQByAGkAbwBkACAAUAAgAG8AZgAgAHQAaABlACAAaQBuAG4AZQByACAAKABmAGEAcwB0AGUAcgApACAAYgBvAGQAeQBcAG4AIAAgACAAYgBhAHMAZQBkACAAbwBuACAAdABoAGUAIABzAHkAbgBvAGQAaQBjACAAcABlAHIAaQBvAGQAIAAoAFMAKQAgAGEAbgBkACAAdABoAGUAIABrAG4AbwB3AG4AIABvAHUAdABlAHIAIABvAHIAYgBpAHQAYQBsACAAcABlAHIAaQBvAGQAIAAoAFEAKQAuAFwAbgBcAG4AIAAgACAAUABhAHIAYQBtAGUAdABlAHIAcwA6AFwAbgAgACAAIAAtACAAUQAgACgAcgBlAHEAdQBpAHIAZQBkACkAOgAgAFMAaQBkAGUAcgBlAGEAbAAgAG8AcgBiAGkAdABhAGwAIABwAGUAcgBpAG8AZAAgAG8AZgAgAHQAaABlACAAbwB1AHQAZQByACAAKABzAGwAbwB3AGUAcgApACAAYgBvAGQAeQBcAG4AIAAgACAALQAgAFMAIAAoAHIAZQBxAHUAaQByAGUAZAApADoAIABTAHkAbgBvAGQAaQBjACAAcABlAHIAaQBvAGQAIAAoAG8AYgBzAGUAcgB2AGUAZAAgAGkAbgB0AGUAcgB2AGEAbAAgAGIAZQB0AHcAZQBlAG4AIABjAG8AbgBqAHUAbgBjAHQAaQBvAG4AcwApAFwAbgAgACAAIAAtACAAbwB1AHQAcAB1AHQAIAAoAG8AcAB0AGkAbwBuAGEAbAApADoAIABPAHUAdABwAHUAdAAgAGYAbwByAG0AYQB0AC4AIABcAG4AIAAgACAAIAAgACAAIAAtACAAXAAiAGIAYQByAGUAXAAiACAAPQAgAFIAZQB0AHUAcgBuAHMAIABQACAAbwBuAGwAeQAgACgAZABlAGYAYQB1AGwAdAApAFwAbgAgACAAIAAgACAAIAAgAC0AIABcACIAdgBlAHIAYgBvAHMAZQBcACIAIAA9ACAAUgBlAHQAdQByAG4AcwAgAGEAIAAyAC0AYwBvAGwAdQBtAG4AIAB2AGUAcgB0AGkAYwBhAGwAIAB0AGEAYgBsAGUAOgAgAFAALAAgAFEALAAgAFMALAAgAHcAaQB0AGgAIABQACAAZgBsAGEAZwBnAGUAZAAgACgAHiYpAFwAbgAgACAAIAAtACAAcAByAGUAYwAgACgAbwBwAHQAaQBvAG4AYQBsACkAOgAgAEQAZQBjAGkAbQBhAGwAIABwAHIAZQBjAGkAcwBpAG8AbgAgACgAZABlAGYAYQB1AGwAdAAgAD0AIAA0ACkAXABuAFwAbgAgACAAIABSAGUAdAB1AHIAbgBzADoAXABuACAAIAAgAC0AIABTAGkAZABlAHIAZQBhAGwAIABwAGUAcgBpAG8AZAAgAFAAIAAoAGIAYQByAGUAKQAsACAAbwByAFwAbgAgACAAIAAtACAAVgBlAHIAYgBvAHMAZQAgADIALQBjAG8AbAB1AG0AbgAgAGEAcgByAGEAeQAgAHcAaQB0AGgAIABsAGEAYgBlAGwAZQBkACAAUAAsACAAUQAsACAAYQBuAGQAIABTACAAdgBhAGwAdQBlAHMAXABuACAAIAAgACAAIAAoAFAAIABpAHMAIABmAGwAYQBnAGcAZQBkACAAdwBpAHQAaAAgAB4mIAB0AG8AIABpAG4AZABpAGMAYQB0AGUAIABpAHQAJwBzACAAdABoAGUAIABzAG8AbAB2AGUAZAAgAHYAYQBsAHUAZQApAFwAbgBcAG4AIAAgACAATgBvAHQAZQBzADoAXABuACAAIAAgAC0AIABQACAAPQAgACgAUQAgANcAIABTACkAIAAvACAAKABRACAAKwAgAFMAKQBcAG4AIAAgACAALQAgAFUAcwBlAGQAIAB3AGgAZQBuACAAdABoAGUAIABzAHkAbgBvAGQAaQBjACAAcABlAHIAaQBvAGQAIABhAG4AZAAgAHMAbABvAHcAZQByACAAbwByAGIAaQB0ACAAYQByAGUAIABrAG4AbwB3AG4AIAAoAGUALgBnAC4ALAAgAG8AYgBzAGUAcgB2AGEAdABpAG8AbgBhAGwAIABhAHMAdAByAG8AbgBvAG0AeQApAFwAbgAgACAAIAAtACAATwB1AHQAcAB1AHQAIABsAGEAeQBvAHUAdAAgAGkAcwAgAGMAbwBuAHMAaQBzAHQAZQBuAHQAIABhAGMAcgBvAHMAcwAgAGEAbABsACAAcwB5AG4AbwBkAGkAYwAgAHMAbwBsAHYAZQByACAAZgB1AG4AYwB0AGkAbwBuAHMAXABuAFwAbgAgACAAIABFAHgAYQBtAHAAbABlADoAXABuACAAIAAgAEEAUwBUAFIATwBfAFMAWQBOAE8ARABJAEMAXwBRAFMAKAA2ADgANwAsACAANwA3ADkALgA4ADgAMQAxACwAIABcACIAdgBlAHIAYgBvAHMAZQBcACIALAAgADQAKQBcAG4AIAAgACAAIAAgAJIhXABuACAAIAAgACAAIAAgACAAUAAgAB4mIAA9ACAAIAAgACAAMwA2ADUALgAyADUAXABuACAAIAAgACAAIAAgACAAUQAgAD0AIAAgACAAIAAgACAANgA4ADcAXABuACAAIAAgACAAIAAgACAAUwAgAD0AIAAgACAAIAAgACAANwA3ADkALgA4ADgAMQAxAFwAbgAqAC8AXABuAFwAbgBcAG4AQQBTAFQAUgBPAF8AUwBZAE4ATwBEAEkAQwBfAFEAUwAgAD0AXABuAEwAQQBNAEIARABBACgAUQAsACAAUwAsACAAWwBvAHUAdABwAHUAdABdACwAIABbAHAAcgBlAGMAXQAsAFwAbgAgACAATABFAFQAKABcAG4AIAAgACAAIABtAG8AZABlACwAIABJAEYAKABJAFMATwBNAEkAVABUAEUARAAoAG8AdQB0AHAAdQB0ACkAIAArACAAKABvAHUAdABwAHUAdAAgAD0AIABcACIAXAAiACkALAAgAFwAIgBiAGEAcgBlAFwAIgAsACAATABPAFcARQBSACgAbwB1AHQAcAB1AHQAKQApACwAXABuACAAIAAgACAAZABpAGcAaQB0AHMALAAgAEkARgAoAEkAUwBPAE0ASQBUAFQARQBEACgAcAByAGUAYwApACwAIAA0ACwAIABwAHIAZQBjACkALABcAG4AXABuACAAIAAgACAALwAvACAAQwBvAHIAcgBlAGMAdAAgAGYAbwByAG0AdQBsAGEAOgAgAFAAIAA9ACAAKABRACAAKgAgAFMAKQAgAC8AIAAoAFEAIAArACAAUwApAFwAbgAgACAAIAAgAFAALAAgAFIATwBVAE4ARAAoACgAUQAgACoAIABTACkAIAAvACAAKABRACAAKwAgAFMAKQAsACAAZABpAGcAaQB0AHMAKQAsAFwAbgBcAG4AIAAgACAAIAB2AGUAcgBiAG8AcwBlACwAXABuACAAIAAgACAAIAAgAFYAUwBUAEEAQwBLACgAXABuACAAIAAgACAAIAAgACAAIABIAFMAVABBAEMASwAoAFwAIgBQACAAHiZcACIALAAgAFAAKQAsAFwAbgAgACAAIAAgACAAIAAgACAASABTAFQAQQBDAEsAKABcACIAUQAgAD0AXAAiACwAIABRACkALABcAG4AIAAgACAAIAAgACAAIAAgAEgAUwBUAEEAQwBLACgAXAAiAFMAIAA9AFwAIgAsACAAUwApAFwAbgAgACAAIAAgACAAIAApACwAXABuAFwAbgAgACAAIAAgAHIAZQBzAHUAbAB0ACwAIABJAEYAKABtAG8AZABlACAAPQAgAFwAIgB2AGUAcgBiAG8AcwBlAFwAIgAsACAAdgBlAHIAYgBvAHMAZQAsACAAUAApACwAXABuACAAIAAgACAAcgBlAHMAdQBsAHQAXABuACAAIAApAFwAbgApADsAXABuAFwAbgAvACoAIABBAFMAVABSAE8AXwBBAFAAUABBAFIARQBOAFQAXwBTAE8ATABBAFIAXwBTAEkAWgBFAFwAbgAgACAAIABQAHUAcgBwAG8AcwBlADoAXABuACAAIAAgAEMAYQBsAGMAdQBsAGEAdABlAHMAIAB0AGgAZQAgAGEAcABwAGEAcgBlAG4AdAAgAGEAbgBnAHUAbABhAHIAIABkAGkAYQBtAGUAdABlAHIAIABvAGYAIABhACAAcwB0AGEAcgAgACgAbwByACAAbwB0AGgAZQByACAAbwBiAGoAZQBjAHQAKQAgAGEAcwAgAHMAZQBlAG4AIABmAHIAbwBtACAAYQAgAHMAcABlAGMAaQBmAGkAZQBkACAAZABpAHMAdABhAG4AYwBlACwAXABuACAAIAAgAGUAeABwAHIAZQBzAHMAZQBkACAAYQBzACAAYQAgAG0AdQBsAHQAaQBwAGwAZQAgAG8AZgAgAHQAaABlACAAUwB1AG4AGSBzACAAYQBwAHAAYQByAGUAbgB0ACAAcwBpAHoAZQAgAGYAcgBvAG0AIABFAGEAcgB0AGgALgBcAG4AXABuACAAIAAgAEkAbgBwAHUAdABzADoAXABuACAAIAAgAC0AIAByAGEAZABpAHUAcwAgACgAcgBlAHEAdQBpAHIAZQBkACkAOgAgAFIAYQBkAGkAdQBzACAAbwBmACAAdABoAGUAIABvAGIAagBlAGMAdAAsACAAaQBuACAAcwBvAGwAYQByACAAcgBhAGQAaQBpACAAKABSAAkmKQBcAG4AIAAgACAALQAgAGQAaQBzAHQAYQBuAGMAZQAgACgAcgBlAHEAdQBpAHIAZQBkACkAOgAgAEQAaQBzAHQAYQBuAGMAZQAgAHQAbwAgAHQAaABlACAAbwBiAGoAZQBjAHQALAAgAGkAbgAgAGEAcwB0AHIAbwBuAG8AbQBpAGMAYQBsACAAdQBuAGkAdABzACAAKABBAFUAKQBcAG4AIAAgACAALQAgAGYAbwByAG0AYQB0ACAAKABvAHAAdABpAG8AbgBhAGwAKQA6ACAATwB1AHQAcAB1AHQAIABtAG8AZABlAC4AXABuACAAIAAgACAAIAAgACAAXAAiAHIAYQB3AFwAIgAgACAAIAAgACAAIAAgAJIhIAByAGUAdAB1AHIAbgBzACAAbgB1AG0AZQByAGkAYwAgAHMAYwBhAGwAYQByACAAKABlAC4AZwAuACwAIAAxAC4ANQA0ADUAKQBcAG4AIAAgACAAIAAgACAAIABcACIAZgBvAHIAbQBhAHQAdABlAGQAXAAiACAAkiEgAHIAZQB0AHUAcgBuAHMAIABzAHQAcgBpAG4AZwAgAGYAbwByAG0AYQB0AHQAZQBkACAAYQBzACAAKABlAC4AZwAuACwAIABcACIAMQAuADUANAA1AAkmXAAiACkAXABuACAAIAAgACAAIAAgACAARABlAGYAYQB1AGwAdAAgACAAIAAgACAAkiEgAFwAIgBmAG8AcgBtAGEAdAB0AGUAZABcACIAXABuACAAIAAgAC0AIABwAHIAZQBjACAAKABvAHAAdABpAG8AbgBhAGwAKQA6ACAATgB1AG0AYgBlAHIAIABvAGYAIABkAGUAYwBpAG0AYQBsACAAcABsAGEAYwBlAHMAIAB0AG8AIAByAG8AdQBuAGQAIAB0AG8AIAAoAGQAZQBmAGEAdQBsAHQAIAA9ACAANAApAFwAbgBcAG4AIAAgACAAUgBlAHQAdQByAG4AcwA6AFwAbgAgACAAIAAtACAAQQBwAHAAYQByAGUAbgB0ACAAYQBuAGcAdQBsAGEAcgAgAHMAaQB6AGUAIABvAGYAIAB0AGgAZQAgAG8AYgBqAGUAYwB0ACAAYQBzACAAYQAgAG0AdQBsAHQAaQBwAGwAZQAgAG8AZgAgAHQAaABlACAAUwB1AG4AGSBzAC4AXABuACAAIAAgACAAIAAxAC4AMAAgAG0AZQBhAG4AcwAgAHQAaABlACAAbwBiAGoAZQBjAHQAIABhAHAAcABlAGEAcgBzACAAZQB4AGEAYwB0AGwAeQAgAHQAaABlACAAcwBhAG0AZQAgAHMAaQB6AGUAIABhAHMAIAB0AGgAZQAgAFMAdQBuACAAaQBuACAARQBhAHIAdABoACcAcwAgAHMAawB5AC4AXABuACAAIAAgACAAIAA+ADEALgAwACAAbQBlAGEAbgBzACAAbABhAHIAZwBlAHIAOwAgADwAMQAuADAAIABtAGUAYQBuAHMAIABzAG0AYQBsAGwAZQByAC4AXABuAFwAbgAgACAAIABOAG8AdABlAHMAOgBcAG4AIAAgACAALQAgAEEAcwBzAHUAbQBlAHMAIAB0AGgAYQB0ACAAaQBuAHAAdQB0AHMAIABhAHIAZQAgAGkAbgAgAHMAbwBsAGEAcgAgAHIAYQBkAGkAaQAgAGEAbgBkACAAQQBVACwAIAB3AGgAaQBjAGgAIABjAGEAbgBjAGUAbAAgAG4AYQB0AHUAcgBhAGwAbAB5ACAAdABvACAAYQAgAHUAbgBpAHQAbABlAHMAcwAgAHIAYQB0AGkAbwAuAFwAbgAgACAAIAAtACAAVQBzAGUAZgB1AGwAIABmAG8AcgAgAHcAbwByAGwAZABiAHUAaQBsAGQAaQBuAGcALAAgAHYAaQBzAHUAYQBsACAAcwB0AG8AcgB5AHQAZQBsAGwAaQBuAGcALAAgAGEAbgBkACAAYwBvAG0AcABhAHIAYQB0AGkAdgBlACAAYQBzAHQAcgBvAG4AbwBtAHkALgBcAG4AIAAgACAALQAgAE0AYQB5ACAAYgBlACAAZQB4AHAAYQBuAGQAZQBkACAAaQBuACAAZgB1AHQAdQByAGUAIAB0AG8AIABzAHUAcABwAG8AcgB0ACAAdAByAHUAZQAgAGEAbgBnAHUAbABhAHIAIAB1AG4AaQB0AHMAIAAoAGEAcgBjAG0AaQBuACwAIABkAGUAZwByAGUAZQBzACwAIABlAHQAYwAuACkAXABuACoALwBcAG4AXABuAEEAUwBUAFIATwBfAEEAUABQAEEAUgBFAE4AVABfAFMATwBMAEEAUgBfAFMASQBaAEUAIAA9AFwAbgBMAEEATQBCAEQAQQAoAHIAYQBkAGkAdQBzACwAIABkAGkAcwB0AGEAbgBjAGUALAAgAFsAZgBvAHIAbQBhAHQAXQAsACAAWwBwAHIAZQBjAF0ALABcAG4AIAAgAEwARQBUACgAXABuACAAIAAgACAALwAvACAAUwBlAHQAIABkAGUAZgBhAHUAbAB0ACAAcAByAGUAYwBpAHMAaQBvAG4AIABpAGYAIABvAG0AaQB0AHQAZQBkAFwAbgAgACAAIAAgAHAALAAgAEkARgAoAEkAUwBPAE0ASQBUAFQARQBEACgAcAByAGUAYwApACwAIAA0ACwAIABwAHIAZQBjACkALABcAG4AXABuACAAIAAgACAALwAvACAAQwBvAHIAZQAgAGMAYQBsAGMAdQBsAGEAdABpAG8AbgA6ACAAcgBhAHQAaQBvACAAbwBmACAAcgBhAGQAaQB1AHMAIAB0AG8AIABkAGkAcwB0AGEAbgBjAGUAXABuACAAIAAgACAAcgBhAHcALAAgAHIAYQBkAGkAdQBzACAALwAgAGQAaQBzAHQAYQBuAGMAZQAsAFwAbgBcAG4AIAAgACAAIAAvAC8AIABDAG8AbgBkAGkAdABpAG8AbgBhAGwAIABvAHUAdABwAHUAdAAgAGYAbwByAG0AYQB0AHQAaQBuAGcAXABuACAAIAAgACAAcgBlAHMAdQBsAHQALABcAG4AIAAgACAAIAAgACAASQBGACgAXABuACAAIAAgACAAIAAgACAAIABPAFIAKABJAFMATwBNAEkAVABUAEUARAAoAGYAbwByAG0AYQB0ACkALAAgAGYAbwByAG0AYQB0ACAAPQAgAFwAIgBmAG8AcgBtAGEAdAB0AGUAZABcACIAKQAsAFwAbgAgACAAIAAgACAAIAAgACAAVABFAFgAVAAoAHIAYQB3ACwAIABcACIAMAAuAFwAIgAgACYAIABSAEUAUABUACgAXAAiADAAXAAiACwAIABwACkAKQAgACYAIABcACIACSZcACIALAAgACAALwAvACAAZQAuAGcALgAsACAAXAAiADEALgA1ADQANQAwAAkmXAAiAFwAbgAgACAAIAAgACAAIAAgACAAcgBhAHcAIAAgACAAIAAgACAAIAAgACAAIAAgACAAIAAgACAAIAAgACAAIAAgACAAIAAgACAAIAAgACAAIAAgACAAIAAgACAAIAAgACAAIAAvAC8AIAByAGUAdAB1AHIAbgAgAHMAYwBhAGwAYQByAFwAbgAgACAAIAAgACAAIAApACwAXABuAFwAbgAgACAAIAAgAHIAZQBzAHUAbAB0AFwAbgAgACAAKQBcAG4AKQA7AFwAbg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cAG4AQQBTAFQAUgBPAF8ATwBSAEIASQBUAF8AQwBPAE4ARgBJAEcAVQBSAEEAVABJAE8ATgBfAEkATgBEAEUAWAAgAD0AXABuAEwAQQBNAEIARABBACgAbQBhAHMAcwAxACwAIABtAGEAcwBzADIALABcAG4AIAAgAEEAQgBTACgAbQBhAHMAcwAxACAALQAgAG0AYQBzAHMAMgApACAALwAgACgAbQBhAHMAcwAxACAAKwAgAG0AYQBzAHMAMgApAFwAbgApADsAXABuAFwAbgBcAG4ALwAqACAAQQBTAFQAUgBPAF8AUwBQAEgARQBSAEkAQwBBAEwAXwBUAE8AXwBDAEEAUgBUAEUAUwBJAEEATgBcAG4AIAAgACAAUAB1AHIAcABvAHMAZQA6AFwAbgAgACAAIABDAG8AbgB2AGUAcgB0AHMAIABzAHAAaABlAHIAaQBjAGEAbAAgAGMAbwBvAHIAZABpAG4AYQB0AGUAcwAgAHQAbwAgAEMAYQByAHQAZQBzAGkAYQBuACAAKAB4ACwAIAB5ACwAIAB6ACkALABcAG4AIAAgACAAYQBzAHMAdQBtAGkAbgBnACAAcABoAGkAIABpAHMAIABpAG4AYwBsAGkAbgBhAHQAaQBvAG4AIABmAHIAbwBtACAAdABoAGUAIAB2AGUAcgB0AGkAYwBhAGwAIABhAHgAaQBzACAAYQBuAGQAIAB0AGgAZQB0AGEAIABpAHMAIABhAHoAaQBtAHUAdABoAC4AXABuAFwAbgAgACAAIABJAG4AcAB1AHQAcwA6AFwAbgAgACAAIAAtACAAcABoAGkAOgAgACAAIAAgAEkAbgBjAGwAaQBuAGEAdABpAG8AbgAgAGEAbgBnAGwAZQAgACgAZABlAGcAcgBlAGUAcwApACwAIAAwACAAPQAgAG4AbwByAHQAaAAgAHAAbwBsAGUALAAgADkAMAAgAD0AIABlAHEAdQBhAHQAbwByACwAIAAxADgAMAAgAD0AIABzAG8AdQB0AGgAIABwAG8AbABlAFwAbgAgACAAIAAtACAAdABoAGUAdABhADoAIAAgAEEAegBpAG0AdQB0AGgAYQBsACAAYQBuAGcAbABlACAAKABkAGUAZwByAGUAZQBzACkALAAgADAAIAA9ACAAcAByAGkAbQBlACAAbQBlAHIAaQBkAGkAYQBuACwAIAA5ADAAIAA9ACAAZQBhAHMAdABcAG4AIAAgACAALQAgAHIAOgAgACAAIAAgACAAIABSAGEAZABpAGEAbAAgAGQAaQBzAHQAYQBuAGMAZQBcAG4AIAAgACAALQAgAHAAcgBlAGMAIAAoAG8AcAB0AGkAbwBuAGEAbAApADoAIABEAGUAYwBpAG0AYQBsACAAcAByAGUAYwBpAHMAaQBvAG4AIAAoAGQAZQBmAGEAdQBsAHQAIAA9ACAAMwApAFwAbgBcAG4AIAAgACAAUgBlAHQAdQByAG4AcwA6AFwAbgAgACAAIAAtACAAMQDXADMAIABhAHIAcgBhAHkAOgAgAHsAeAAsACAAeQAsACAAegB9ACwAIAByAG8AdQBuAGQAZQBkACAAdABvACAAWwBwAHIAZQBjAF0AIABkAGkAZwBpAHQAcwBcAG4AXABuACAAIAAgAE4AbwB0AGUAcwA6AFwAbgAgACAAIAAtACAAQwBvAG0AcABhAHQAaQBiAGwAZQAgAHcAaQB0AGgAIABtAGEAcABwAGkAbgBnACAAYQBuAGQAIABzAGkAbQB1AGwAYQB0AGkAbwBuACAAcwB5AHMAdABlAG0AcwAgAHUAcwBpAG4AZwAgAHMAcABoAGUAcgBpAGMAYQBsACAAZwBlAG8AbQBlAHQAcgB5AC4AXABuACAAIAAgAC0AIABBAHMAcwB1AG0AZQBzACAAcwB0AGEAbgBkAGEAcgBkACAAcgBpAGcAaAB0AC0AaABhAG4AZABlAGQAIABjAG8AbwByAGQAaQBuAGEAdABlACAAcwB5AHMAdABlAG0ALgBcAG4AKgAvAFwAbgBcAG4AQQBTAFQAUgBPAF8AUwBQAEgARQBSAEkAQwBBAEwAXwBUAE8AXwBDAEEAUgBUAEUAUwBJAEEATgAgAD0AXABuAEwAQQBNAEIARABBACgAcABoAGkALAAgAHQAaABlAHQAYQAsACAAcgAsACAAcAByAGUAYwAsAFwAbgAgACAATABFAFQAKABcAG4AIAAgACAAIAAvAC8AIABIAGEAbgBkAGwAZQAgAGQAZQBmAGEAdQBsAHQAIABwAHIAZQBjAGkAcwBpAG8AbgBcAG4AIAAgACAAIABwAHIAZQBjACwAIABJAEYAKABJAFMATwBNAEkAVABUAEUARAAoAHAAcgBlAGMAKQAgACsAIAAoAHAAcgBlAGMAIAA8ACAAMAApACwAIAAzACwAIABwAHIAZQBjACkALABcAG4AXABuACAAIAAgACAALwAvACAAQwBvAG4AdgBlAHIAdAAgAGQAZQBnAHIAZQBlAHMAIAB0AG8AIAByAGEAZABpAGEAbgBzAFwAbgAgACAAIAAgAHAAaABpAF8AcgBhAGQALAAgAFIAQQBEAEkAQQBOAFMAKABwAGgAaQApACwAXABuACAAIAAgACAAdABoAGUAdABhAF8AcgBhAGQALAAgAFIAQQBEAEkAQQBOAFMAKAB0AGgAZQB0AGEAKQAsAFwAbgBcAG4AIAAgACAAIAAvAC8AIABUAHIAaQBnACAAYwBhAGwAYwB1AGwAYQB0AGkAbwBuAHMAXABuACAAIAAgACAAeABfAHIAYQB3ACwAIAByACAAKgAgAFMASQBOACgAcABoAGkAXwByAGEAZAApACAAKgAgAEMATwBTACgAdABoAGUAdABhAF8AcgBhAGQAKQAsAFwAbgAgACAAIAAgAHkAXwByAGEAdwAsACAAcgAgACoAIABTAEkATgAoAHAAaABpAF8AcgBhAGQAKQAgACoAIABTAEkATgAoAHQAaABlAHQAYQBfAHIAYQBkACkALABcAG4AIAAgACAAIAB6AF8AcgBhAHcALAAgAHIAIAAqACAAQwBPAFMAKABwAGgAaQBfAHIAYQBkACkALABcAG4AXABuACAAIAAgACAALwAvACAAUgBvAHUAbgBkACAAYQBuAGQAIAByAGUAdAB1AHIAbgAgAGEAcwAgADEA1wAzACAAYQByAHIAYQB5AFwAbgAgACAAIAAgAHgALAAgAFIATwBVAE4ARAAoAHgAXwByAGEAdwAsACAAcAByAGUAYwApACwAXABuACAAIAAgACAAeQAsACAAUgBPAFUATgBEACgAeQBfAHIAYQB3ACwAIABwAHIAZQBjACkALABcAG4AIAAgACAAIAB6ACwAIABSAE8AVQBOAEQAKAB6AF8AcgBhAHcALAAgAHAAcgBlAGMAKQAsAFwAbgBcAG4AIAAgACAAIABIAFMAVABBAEMASwAoAHgALAAgAHkALAAgAHoAKQBcAG4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FwAbgBBAFMAVABSAE8AXwBDAEEAUgBUAEUAUwBJAEEATgBfAFQATwBfAFMAUABIAEUAUgBJAEMAQQBMACAAPQBcAG4ATABBAE0AQgBEAEEAKAB4ACwAIAB5ACwAIAB6ACwAIABwAHIAZQBjACwAXABuACAAIABMAEUAVAAoAFwAbgAgACAAIAAgAC8ALwAgAEgAYQBuAGQAbABlACAAZABlAGYAYQB1AGwAdAAgAHIAbwB1AG4AZABpAG4AZwAgAHAAcgBlAGMAaQBzAGkAbwBuAFwAbgAgACAAIAAgAHAAcgBlAGMALAAgAEkARgAoAEkAUwBPAE0ASQBUAFQARQBEACgAcAByAGUAYwApACAAKwAgACgAcAByAGUAYwAgADwAIAAwACkALAAgADMALAAgAHAAcgBlAGMAKQAsAFwAbgBcAG4AIAAgACAAIAAvAC8AIABDAG8AbQBwAHUAdABlACAAcgBhAGQAaQBhAGwAIABkAGkAcwB0AGEAbgBjAGUAIABmAHIAbwBtACAAbwByAGkAZwBpAG4AXABuACAAIAAgACAAcgAsACAAUwBRAFIAVAAoAHgAXgAyACAAKwAgAHkAXgAyACAAKwAgAHoAXgAyACkALABcAG4AXABuACAAIAAgACAALwAvACAAQwBvAG0AcAB1AHQAZQAgAGkAbgBjAGwAaQBuAGEAdABpAG8AbgAgAGEAbgBnAGwAZQAgAGYAcgBvAG0AIAB2AGUAcgB0AGkAYwBhAGwAIABhAHgAaQBzACAAKAB6ACkAXABuACAAIAAgACAAcABoAGkALAAgAEQARQBHAFIARQBFAFMAKABBAEMATwBTACgAegAgAC8AIAByACkAKQAsAFwAbgBcAG4AIAAgACAAIAAvAC8AIABDAG8AbQBwAHUAdABlACAAYQB6AGkAbQB1AHQAaABhAGwAIABhAG4AZwBsAGUAIABpAG4AIAB4AC0AeQAgAHAAbABhAG4AZQAsACAAbgBvAHIAbQBhAGwAaQB6AGUAZAAgAHQAbwAgAFsAMAAsACAAMwA2ADAAKQBcAG4AIAAgACAAIAB0AGgAZQB0AGEALAAgAE0ATwBEACgARABFAEcAUgBFAEUAUwAoAEEAVABBAE4AMgAoAHkALAAgAHgAKQApACwAIAAzADYAMAApACwAXABuAFwAbgAgACAAIAAgAC8ALwAgAFIAbwB1AG4AZAAgAGEAbABsACAAbwB1AHQAcAB1AHQAcwBcAG4AIAAgACAAIABwAGgAaQBfAG8AdQB0ACwAIABSAE8AVQBOAEQAKABwAGgAaQAsACAAcAByAGUAYwApACwAXABuACAAIAAgACAAdABoAGUAdABhAF8AbwB1AHQALAAgAFIATwBVAE4ARAAoAHQAaABlAHQAYQAsACAAcAByAGUAYwApACwAXABuACAAIAAgACAAcgBfAG8AdQB0ACwAIABSAE8AVQBOAEQAKAByACwAIABwAHIAZQBjACkALABcAG4AXABuACAAIAAgACAALwAvACAAUgBlAHQAdQByAG4AIABhAHMAIAAxANcAMwAgAGEAcgByAGEAeQBcAG4AIAAgACAAIABIAFMAVABBAEMASwAoAHAAaABpAF8AbwB1AHQALAAgAHQAaABlAHQAYQBfAG8AdQB0ACwAIAByAF8AbwB1AHQAKQBcAG4AIAAgACkAXABuACkAOwBcAG4AXABuAFwAbgBcAG4AXABuAC8AKgAgAEEAUwBUAFIATwBfAE8AUgBCAEkAVABfAEEAWABJAFMAXABuACAAIAAgAFAAdQByAHAAbwBzAGUAOgBcAG4AIAAgACAAQwBvAG0AcAB1AHQAZQBzACAAdABoAGUAIABzAGUAbQBpAC0AbQBhAGoAbwByACAAYQB4AGkAcwAgACgAaQBuACAAQQBVACkAIABvAGYAIABhACAAdAB3AG8ALQBiAG8AZAB5ACAAcwB5AHMAdABlAG0AXABuACAAIAAgAGIAYQBzAGUAZAAgAG8AbgAgAHQAbwB0AGEAbAAgAG0AYQBzAHMAIAAoAGkAbgAgAHMAbwBsAGEAcgAgAG0AYQBzAHMAZQBzACkAIABhAG4AZAAgAG8AcgBiAGkAdABhAGwAIABwAGUAcgBpAG8AZAAgACgAaQBuACAAeQBlAGEAcgBzACkALgBcAG4AXABuACAAIAAgAEkAbgBwAHUAdABzADoAXABuACAAIAAgAC0AIABtAGEAcwBzADEAOgAgAFAAcgBpAG0AYQByAHkAIABtAGEAcwBzACAAKABpAG4AIABzAG8AbABhAHIAIABtAGEAcwBzAGUAcwApAFwAbgAgACAAIAAtACAAbQBhAHMAcwAyACAAKABvAHAAdABpAG8AbgBhAGwAKQA6ACAAUwBlAGMAbwBuAGQAYQByAHkAIABtAGEAcwBzACAAKABpAG4AIABzAG8AbABhAHIAIABtAGEAcwBzAGUAcwA7ACAAZABlAGYAYQB1AGwAdABzACAAdABvACAAMAAgAGkAZgAgAG8AbQBpAHQAdABlAGQAIABvAHIAIAA9ACAAMQApAFwAbgAgACAAIAAtACAAcABlAHIAaQBvAGQAOgAgAE8AcgBiAGkAdABhAGwAIABwAGUAcgBpAG8AZAAgACgAaQBuACAAeQBlAGEAcgBzACkAXABuAFwAbgAgACAAIABSAGUAdAB1AHIAbgBzADoAXABuACAAIAAgAC0AIABPAHIAYgBpAHQAYQBsACAAYQB4AGkAcwAgAGkAbgAgAGEAcwB0AHIAbwBuAG8AbQBpAGMAYQBsACAAdQBuAGkAdABzACAAKABBAFUAKQBcAG4AXABuACAAIAAgAE4AbwB0AGUAcwA6AFwAbgAgACAAIAAtACAAVQBzAGUAcwAgAE4AZQB3AHQAbwBuAGkAYQBuACAAZgBvAHIAbQAgAG8AZgAgAEsAZQBwAGwAZQByACcAcwAgAFQAaABpAHIAZAAgAEwAYQB3AC4AXABuACAAIAAgAC0AIABtAGEAcwBzADIAIABpAHMAIABjAG8AbgB2AGUAcgB0AGUAZAAgAGYAcgBvAG0AIABzAG8AbABhAHIAIABtAGEAcwBzAGUAcwAgAGkAZgAgAHAAcgBlAHMAZQBuAHQALgBcAG4AKgAvAFwAbgBcAG4AQQBTAFQAUgBPAF8ATwBSAEIASQBUAF8AQQBYAEkAUwAgAD0AIABMAEEATQBCAEQAQQAoAG0AYQBzAHMAMQAsACAAbQBhAHMAcwAyACwAIABwAGUAcgBpAG8AZAAsAFwAbgAgACAATABFAFQAKABcAG4AIAAgACAAIABtAF8AMgAsACAASQBGACgAKABJAFMATwBNAEkAVABUAEUARAAoAG0AYQBzAHMAMgApACkAIAArACAAKABtAGEAcwBzADIAIAA9ACAAMQApACwAIAAwACwAIABtAGEAcwBzADIAIAAqACAAMwAuADAAMAAzAEUALQA2ACkALABcAG4AIAAgACAAIABhAHgAaQBzACwAIABQAE8AVwBFAFIAKAAoAFAATwBXAEUAUgAoAHAAZQByAGkAbwBkACwAIAAyACkAIAAqACAAKABtAGEAcwBzADEAIAArACAAbQBfADIAKQApACwAIAAxACAALwAgADMAKQAsAFwAbgAgACAAIAAgAGEAeABpAHMAXABuACAAIAApAFwAbgApADsAXABuAFwAbgBcAG4ALwAqACAAQQBTAFQAUgBPAF8ATwBSAEIASQBUAF8AUABFAFIASQBPAEQAXABuACAAIAAgAFAAdQByAHAAbwBzAGUAOgBcAG4AIAAgACAAQwBvAG0AcAB1AHQAZQBzACAAdABoAGUAIABvAHIAYgBpAHQAYQBsACAAcABlAHIAaQBvAGQAIAAoAGkAbgAgAHkAZQBhAHIAcwApACAAbwBmACAAYQAgAHQAdwBvAC0AYgBvAGQAeQAgAHMAeQBzAHQAZQBtAFwAbgAgACAAIABiAGEAcwBlAGQAIABvAG4AIAB0AG8AdABhAGwAIABtAGEAcwBzACAAKABpAG4AIABzAG8AbABhAHIAIABtAGEAcwBzAGUAcwApACAAYQBuAGQAIABzAGUAbQBpAC0AbQBhAGoAbwByACAAYQB4AGkAcwAgACgAaQBuACAAQQBVACkALgBcAG4AXABuACAAIAAgAEkAbgBwAHUAdABzADoAXABuACAAIAAgAC0AIABtAGEAcwBzADEAOgAgAFAAcgBpAG0AYQByAHkAIABtAGEAcwBzACAAKABpAG4AIABzAG8AbABhAHIAIABtAGEAcwBzAGUAcwApAFwAbgAgACAAIAAtACAAbQBhAHMAcwAyACAAKABvAHAAdABpAG8AbgBhAGwAKQA6ACAAUwBlAGMAbwBuAGQAYQByAHkAIABtAGEAcwBzACAAKABpAG4AIABzAG8AbABhAHIAIABtAGEAcwBzAGUAcwA7ACAAZABlAGYAYQB1AGwAdABzACAAdABvACAAMAAgAGkAZgAgAG8AbQBpAHQAdABlAGQAIABvAHIAIAA9ACAAMQApAFwAbgAgACAAIAAtACAAYQB4AGkAcwA6ACAATwByAGIAaQB0AGEAbAAgAGEAeABpAHMAIAAoAGkAbgAgAEEAVQApAFwAbgBcAG4AIAAgACAAUgBlAHQAdQByAG4AcwA6AFwAbgAgACAAIAAtACAATwByAGIAaQB0AGEAbAAgAHAAZQByAGkAbwBkACAAaQBuACAAeQBlAGEAcgBzAFwAbgAqAC8AXABuAFwAbgBBAFMAVABSAE8AXwBPAFIAQgBJAFQAXwBQAEUAUgBJAE8ARAAgAD0AIABMAEEATQBCAEQAQQAoAG0AYQBzAHMAMQAsACAAbQBhAHMAcwAyACwAIABhAHgAaQBzACwAXABuACAAIABMAEUAVAAoAFwAbgAgACAAIAAgAG0AXwAyACwAIABJAEYAKAAoAEkAUwBPAE0ASQBUAFQARQBEACgAbQBhAHMAcwAyACkAKQAgACsAIAAoAG0AYQBzAHMAMgAgAD0AIAAxACkALAAgADAALAAgAG0AYQBzAHMAMgAgACoAIAAzAC4AMAAwADIANwAzAEUALQA2ACkALABcAG4AIAAgACAAIABwAGUAcgBpAG8AZAAsACAAUwBRAFIAVAAoAFAATwBXAEUAUgAoAGEAeABpAHMALAAgADMAKQAgAC8AIAAoAG0AYQBzAHMAMQAgACsAIABtAF8AMgApACkALABcAG4AIAAgACAAIABwAGUAcgBpAG8AZABcAG4AIAAgACkAXABuACkAOwBcAG4AXABuAFwAbgAvACoAIABBAFMAVABSAE8AXwBPAFIAQgBJAFQAXwBTAFUATQBfAE0AQQBTAFMARQBTAFwAbgAgACAAIABQAHUAcgBwAG8AcwBlADoAXABuACAAIAAgAEMAbwBtAHAAdQB0AGUAcwAgAHQAaABlACAAYwBvAG0AYgBpAG4AZQBkACAAbQBhAHMAcwAgACgAaQBuACAAcwBvAGwAYQByACAAbQBhAHMAcwBlAHMAKQAgAG8AZgAgAGEAIAB0AHcAbwAtAGIAbwBkAHkAIABzAHkAcwB0AGUAbQBcAG4AIAAgACAAZgByAG8AbQAgAG8AcgBiAGkAdABhAGwAIABhAHgAaQBzACAAKABpAG4AIABBAFUAKQAgAGEAbgBkACAAcABlAHIAaQBvAGQAIAAoAGkAbgAgAHkAZQBhAHIAcwApAC4AXABuAFwAbgAgACAAIABJAG4AcAB1AHQAcwA6AFwAbgAgACAAIAAtACAAYQB4AGkAcwA6ACAAUwBlAG0AaQAtAG0AYQBqAG8AcgAgAGEAeABpAHMAIAAoAEEAVQApAFwAbgAgACAAIAAtACAAcABlAHIAaQBvAGQAOgAgAE8AcgBiAGkAdABhAGwAIABwAGUAcgBpAG8AZAAgACgAeQBlAGEAcgBzACkAXABuAFwAbgAgACAAIABSAGUAdAB1AHIAbgBzADoAXABuACAAIAAgAC0AIABUAG8AdABhAGwAIABzAHkAcwB0AGUAbQAgAG0AYQBzAHMAIAAoAGkAbgAgAHMAbwBsAGEAcgAgAG0AYQBzAHMAZQBzACkAXABuACoALwBcAG4AXABuAEEAUwBUAFIATwBfAE8AUgBCAEkAVABfAFMAVQBNAF8ATQBBAFMAUwBFAFMAIAA9ACAATABBAE0AQgBEAEEAKABhAHgAaQBzACwAIABwAGUAcgBpAG8AZAAsAFwAbgAgACAAUABPAFcARQBSACgAYQB4AGkAcwAsACAAMwApACAALwAgAFAATwBXAEUAUgAoAHAAZQByAGkAbwBkACwAIAAyACkAXABuACkAOwBcAG4AXABuAFwAbgAvACoAIABBAFMAVABSAE8AXwBPAFIAQgBJAFQAXwBTAE8ATABWAEUAUgBcAG4AIAAgACAAUAB1AHIAcABvAHMAZQA6AFwAbgAgACAAIABVAG4AaQBmAGkAZQBkACAAcwBvAGwAdgBlAHIAIABmAG8AcgAgAG8AcgBiAGkAdABhAGwAIABhAHgAaQBzACwAIABwAGUAcgBpAG8AZAAsACAAbwByACAAdABvAHQAYQBsACAAbQBhAHMAcwAgAGkAbgAgAGEAIAB0AHcAbwAtAGIAbwBkAHkAIABzAHkAcwB0AGUAbQAuAFwAbgAgACAAIABTAGUAbABlAGMAdABzACAAYQBwAHAAcgBvAHAAcgBpAGEAdABlACAAZgBvAHIAbQB1AGwAYQAgAGIAYQBzAGUAZAAgAG8AbgAgAG0AbwBkAGUALgBcAG4AXABuACAAIAAgAEkAbgBwAHUAdABzADoAXABuACAAIAAgAC0AIABtAG8AZABlADoAIABPAG4AZQAgAG8AZgAgAFwAIgBhAHgAaQBzAFwAIgAsACAAXAAiAHAAZQByAGkAbwBkAFwAIgAsACAAbwByACAAXAAiAG0AYQBzAHMAXAAiAFwAbgAgACAAIAAtACAAdgBhAGwAXwAxADoAIABGAGkAcgBzAHQAIABrAG4AbwB3AG4AIAB2AGEAbAB1AGUAIAAoAGQAZQBwAGUAbgBkAHMAIABvAG4AIABtAG8AZABlACkAXABuACAAIAAgAC0AIAB2AGEAbABfADIAOgAgAFMAZQBjAG8AbgBkACAAawBuAG8AdwBuACAAdgBhAGwAdQBlACAAKABkAGUAcABlAG4AZABzACAAbwBuACAAbQBvAGQAZQApAFwAbgAgACAAIAAtACAAbQBhAHMAcwAyACAAKABvAHAAdABpAG8AbgBhAGwAKQA6ACAAUwBlAGMAbwBuAGQAYQByAHkAIABtAGEAcwBzACAAKABpAG4AIABzAG8AbABhAHIAIABtAGEAcwBzAGUAcwA7ACAAZABlAGYAYQB1AGwAdABzACAAdABvACAAMAAgAGkAZgAgAG8AbQBpAHQAdABlAGQAIABvAHIAIAA9ACAAMQApAFwAbgAgACAAIAAtACAAcAByAGUAYwBpAHMAaQBvAG4AIAAoAG8AcAB0AGkAbwBuAGEAbAApADoAIABEAGUAYwBpAG0AYQBsACAAcABsAGEAYwBlAHMAIABmAG8AcgAgAGYAbwByAG0AYQB0AHQAZQBkACAAbwB1AHQAcAB1AHQAIAAoAGQAZQBmAGEAdQBsAHQAIAA9ACAANAApAFwAbgBcAG4AIAAgACAAUgBlAHQAdQByAG4AcwA6AFwAbgAgACAAIAAtACAAUgBlAHMAdQBsAHQAIABhAHMAIABhACAAbgB1AG0AYgBlAHIAIABvAHIAIABsAGEAYgBlAGwAZQBkACAAcwB0AHIAaQBuAGcALAAgAGQAZQBwAGUAbgBkAGkAbgBnACAAbwBuACAAbQBvAGQAZQAgAGEAbgBkACAAZgBvAHIAbQBhAHQAXABuAFwAbgAgACAAIABOAG8AdABlAHMAOgBcAG4AIAAgACAALQAgAG0AYQBzAHMAMgAgAGkAcwAgAG8AbgBsAHkAIAByAGUAbABlAHYAYQBuAHQAIABmAG8AcgAgAFwAIgBhAHgAaQBzAFwAIgAgAGEAbgBkACAAXAAiAHAAZQByAGkAbwBkAFwAIgAgAG0AbwBkAGUAcwAuAFwAbgAqAC8AXABuAFwAbgBBAFMAVABSAE8AXwBPAFIAQgBJAFQAXwBTAE8ATABWAEUAUgAgAD0AXABuAEwAQQBNAEIARABBACgAbQBvAGQAZQAsACAAdgBhAGwAXwAxACwAIAB2AGEAbABfADIALAAgAG0AYQBzAHMAMgAsACAAcAByAGUAYwBpAHMAaQBvAG4ALABcAG4AIAAgAEwARQBUACgAXABuACAAIAAgACAAbQBfADIALAAgAEkARgAoAEkAUwBPAE0ASQBUAFQARQBEACgAbQBhAHMAcwAyACkAIAArACAAKABtAGEAcwBzADIAIAA9ACAAMQApACwAIAAwACwAIABtAGEAcwBzADIAIAAqACAAMwAuADAAMAAzAEUALQA2ACkALABcAG4AIAAgACAAIABwAHIAZQBjACwAIABJAEYAKABJAFMATwBNAEkAVABUAEUARAAoAHAAcgBlAGMAaQBzAGkAbwBuACkALAAgADQALAAgAHAAcgBlAGMAaQBzAGkAbwBuACkALABcAG4AXABuACAAIAAgACAAcgBlAHMAdQBsAHQALABcAG4AIAAgACAAIAAgACAAUwBXAEkAVABDAEgAKABMAE8AVwBFAFIAKABtAG8AZABlACkALABcAG4AIAAgACAAIAAgACAAIAAgAFwAIgBhAHgAaQBzAFwAIgAsACAAUABPAFcARQBSACgAKABQAE8AVwBFAFIAKAB2AGEAbABfADIALAAgADIAKQAgACoAIAAoAHYAYQBsAF8AMQAgACsAIABtAF8AMgApACkALAAgADEAIAAvACAAMwApACwAXABuACAAIAAgACAAIAAgACAAIABcACIAcABlAHIAaQBvAGQAXAAiACwAIABTAFEAUgBUACgAUABPAFcARQBSACgAdgBhAGwAXwAyACwAIAAzACkAIAAvACAAKAB2AGEAbABfADEAIAArACAAbQBfADIAKQApACwAXABuACAAIAAgACAAIAAgACAAIABcACIAbQBhAHMAcwBcACIALAAgAFAATwBXAEUAUgAoAHYAYQBsAF8AMQAsACAAMwApACAALwAgAFAATwBXAEUAUgAoAHYAYQBsAF8AMgAsACAAMgApACwAXABuACAAIAAgACAAIAAgACAAIABOAEEAKAApAFwAbgAgACAAIAAgACAAIAApACwAXABuAFwAbgAgACAAIAAgAGwAYQBiAGUAbAAsAFwAbgAgACAAIAAgACAAIABTAFcASQBUAEMASAAoAEwATwBXAEUAUgAoAG0AbwBkAGUAKQAsAFwAbgAgACAAIAAgACAAIAAgACAAXAAiAGEAeABpAHMAXAAiACwAIABcACIAQQB4AGkAcwAgAD0AIABcACIALABcAG4AIAAgACAAIAAgACAAIAAgAFwAIgBwAGUAcgBpAG8AZABcACIALAAgAFwAIgBQAGUAcgBpAG8AZAAgAD0AIABcACIALABcAG4AIAAgACAAIAAgACAAIAAgAFwAIgBtAGEAcwBzAFwAIgAsACAAXAAiAE0AYQBzAHMAIAA9ACAAXAAiACwAXABuACAAIAAgACAAIAAgACAAIABcACIAPwBcACIAXABuACAAIAAgACAAIAAgACkALABcAG4AXABuACAAIAAgACAAVABFAFgAVAAoAHIAZQBzAHUAbAB0ACwAIABcACIAMAAuAFwAIgAgACYAIABSAEUAUABUACgAXAAiADAAXAAiACwAIABwAHIAZQBjACkAKQAgACYAIABcACIAIABcACIAIAAmACAAbABhAGIAZQBsAFwAbg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XABuAEEAUwBUAFIATwBfAEQARQBHAFIARQBFAFMAXwBUAE8AXwBEAE0AUwBfAE4AVQBNACAAPQBcAG4ATABBAE0AQgBEAEEAKABEAGUAYwBpAG0AYQBsAEQAZQBnAHIAZQBlAHMALABcAG4AIAAgAEwARQBUACgAXABuACAAIAAgACAARABlAGcALAAgAFQAUgBVAE4AQwAoAEQAZQBjAGkAbQBhAGwARABlAGcAcgBlAGUAcwApACwAIAAgACAAIAAgACAAIAAgACAAIAAgACAAIAAgACAAIAAgACAAIAAgACAAIAAgACAAIAAvAC8AIABXAGgAbwBsAGUAIABkAGUAZwByAGUAZQBzAFwAbgAgACAAIAAgAEYAcgBhAGMAUABvAHIAdABpAG8AbgAsACAAQQBCAFMAKABEAGUAYwBpAG0AYQBsAEQAZQBnAHIAZQBlAHMAIAAtACAARABlAGcAKQAsACAAIAAgACAAIAAgACAAIAAgACAAIAAgACAALwAvACAARgByAGEAYwB0AGkAbwBuAGEAbAAgAHAAYQByAHQAXABuACAAIAAgACAATQBpAG4AdQB0AGUAcwAsACAARgByAGEAYwBQAG8AcgB0AGkAbwBuACAAKgAgADYAMAAsACAAIAAgACAAIAAgACAAIAAgACAAIAAgACAAIAAgACAAIAAgACAAIAAgACAAIAAgACAAIAAvAC8AIABDAG8AbgB2AGUAcgB0ACAAdABvACAAbQBpAG4AdQB0AGUAcwBcAG4AIAAgACAAIABNAGkAbgBfAHAAYQByAHQALAAgAFQAUgBVAE4AQwAoAE0AaQBuAHUAdABlAHMAKQAgAC8AIAAxADAAMAAsACAAIAAgACAAIAAgACAAIAAgACAAIAAgACAAIAAgACAAIAAgACAAIAAgAC8ALwAgAEkAbgB0AGUAZwBlAHIAIABtAGkAbgB1AHQAZQBzACAALwAgADEAMAAwAFwAbgAgACAAIAAgAEkAbgB0AE0AaQBuACwAIABJAE4AVAAoAE0AaQBuAHUAdABlAHMAKQAsAFwAbgAgACAAIAAgAEYAcgBhAGMATQBpAG4ALAAgAEEAQgBTACgATQBpAG4AdQB0AGUAcwAgAC0AIABJAG4AdABNAGkAbgApACwAIAAgACAAIAAgACAAIAAgACAAIAAgACAAIAAgACAAIAAgACAAIAAgACAALwAvACAAUgBlAG0AYQBpAG4AZABlAHIAIABtAGkAbgB1AHQAZQBzAFwAbgAgACAAIAAgAFMAZQBjAG8AbgBkAHMALAAgAEYAcgBhAGMATQBpAG4AIAAqACAANgAwACwAIAAgACAAIAAgACAAIAAgACAAIAAgACAAIAAgACAAIAAgACAAIAAgACAAIAAgACAAIAAgACAAIAAgACAALwAvACAAQwBvAG4AdgBlAHIAdAAgAHQAbwAgAHMAZQBjAG8AbgBkAHMAXABuACAAIAAgACAAcwBlAGMAXwBwAGEAcgB0ACwAIABTAGUAYwBvAG4AZABzACAALwAgADEAMAAwADAAMAAsACAAIAAgACAAIAAgACAAIAAgACAAIAAgACAAIAAgACAAIAAgACAAIAAgACAAIAAgACAAIAAvAC8AIABTAGUAYwBvAG4AZABzACAALwAgADEAMAAwADAAMABcAG4AIAAgACAAIABvAHUAdABwAHUAdAAsACAARABlAGcAIAArACAATQBpAG4AXwBwAGEAcgB0ACAAKwAgAHMAZQBjAF8AcABhAHIAdAAsACAAIAAgACAAIAAgACAAIAAgACAAIAAgACAAIAAgACAAIAAgAC8ALwAgAEEAZABkACAAYQBsAGwAIAB0AG8AZwBlAHQAaABlAHIAXABuACAAIAAgACAARgBJAFgARQBEACgAbwB1AHQAcAB1AHQALAAgADcAKQAgACAAIAAgACAAIAAgACAAIAAgACAAIAAgACAAIAAgACAAIAAgACAAIAAgACAAIAAgACAAIAAgACAAIAAgACAAIAAgACAAIAAvAC8AIABSAGUAdAB1AHIAbgAgAGYAaQB4AGUAZAAgAGQAZQBjAGkAbQBhAGwAIAB0AGUAeAB0AFwAbgAgACAAKQBcAG4AKQA7AFwAbg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XABuAEEAUwBUAFIATwBfAEQARQBHAFIARQBFAFMAXwBUAE8AXwBEAE0AUwBfAFQARQBYAFQAIAA9AFwAbgBMAEEATQBCAEQAQQAoAEQAZQBjAGkAbQBhAGwARABlAGcAcgBlAGUAcwAsACAAcAByAGUAYwBpAHMAaQBvAG4ALABcAG4AIAAgAEwARQBUACgAXABuACAAIAAgACAAZABlAGMAcAByAGUAYwAsACAASQBGACgASQBTAE8ATQBJAFQAVABFAEQAKABwAHIAZQBjAGkAcwBpAG8AbgApACwAIAAzACwAIABwAHIAZQBjAGkAcwBpAG8AbgApACwAXABuACAAIAAgACAARABlAGcALAAgAFQAUgBVAE4AQwAoAEQAZQBjAGkAbQBhAGwARABlAGcAcgBlAGUAcwApACwAXABuACAAIAAgACAARgByAGEAYwBQAG8AcgB0AGkAbwBuACwAIABBAEIAUwAoAEQAZQBjAGkAbQBhAGwARABlAGcAcgBlAGUAcwAgAC0AIABEAGUAZwApACwAXABuACAAIAAgACAATQBpAG4AdQB0AGUAcwAsACAARgByAGEAYwBQAG8AcgB0AGkAbwBuACAAKgAgADYAMAAsAFwAbgAgACAAIAAgAEkAbgB0AE0AaQBuACwAIABJAE4AVAAoAE0AaQBuAHUAdABlAHMAKQAsAFwAbgAgACAAIAAgAEYAcgBhAGMATQBpAG4ALAAgAEEAQgBTACgATQBpAG4AdQB0AGUAcwAgAC0AIABJAG4AdABNAGkAbgApACwAXABuACAAIAAgACAAUwBlAGMAbwBuAGQAcwAsACAARgByAGEAYwBNAGkAbgAgACoAIAA2ADAALABcAG4AIAAgACAAIABEAGUAZwAgACYAIABcACIAsAAgAFwAIgAgACYAIABJAG4AdABNAGkAbgAgACYAIABDAEgAQQBSACgAMwA5ACkAIAAmACAAQwBIAEEAUgAoADMAMgApACAAJgAgAEYASQBYAEUARAAoAFMAZQBjAG8AbgBkAHMALAAgAGQAZQBjAHAAcgBlAGMAKQAgACYAIABDAEgAQQBSACgAMwA0ACkAXABuACAAIAApAFwAbgApADsAXABuAFwAbgBcAG4ALwAqACAAQQBTAFQAUgBPAF8ARABNAFMAXwBOAFUATQBfAFQATwBfAEQARQBHAFIARQBFAFMAXABuACAAIAAgAFAAdQByAHAAbwBzAGUAOgBcAG4AIAAgACAAQwBvAG4AdgBlAHIAdABzACAAYQAgAEQALgBNAE0AUwBTAC0AcwB0AHkAbABlACAAbgB1AG0AZQByAGkAYwAgAGYAbwByAG0AYQB0ACAAaQBuAHQAbwAgAGQAZQBjAGkAbQBhAGwAIABkAGUAZwByAGUAZQBzAC4AXABuAFwAbgAgACAAIABJAG4AcAB1AHQAOgBcAG4AIAAgACAALQAgAGkAbgBwAHUAdAA6ACAAQQBuAGcAbABlACAAaQBuACAARAAuAE0ATQBTAFMAIABmAG8AcgBtAGEAdAAgACgAZQAuAGcALgAsACAAMQAyADMALgAzADAAMQA1ACkAXABuAFwAbgAgACAAIABSAGUAdAB1AHIAbgBzADoAXABuACAAIAAgAC0AIABEAGUAYwBpAG0AYQBsACAAZABlAGcAcgBlAGUAcwBcAG4AKgAvAFwAbgBcAG4AQQBTAFQAUgBPAF8ARABNAFMAXwBOAFUATQBfAFQATwBfAEQARQBHAFIARQBFAFMAIAA9AFwAbgBMAEEATQBCAEQAQQAoAGkAbgBwAHUAdAAsAFwAbgAgACAATABFAFQAKABcAG4AIAAgACAAIABkAGUAZwByAGUAZQBzACwAIABUAFIAVQBOAEMAKABpAG4AcAB1AHQAKQAsACAAIAAgACAAIAAgACAAIAAgACAAIAAgACAAIAAgACAAIAAgACAAIAAgACAAIAAgACAAIAAgACAAIAAvAC8AIABXAGgAbwBsAGUAIABkAGUAZwByAGUAZQBzAFwAbgAgACAAIAAgAG0AaQBuAHUAdABlAHMALAAgAFQAUgBVAE4AQwAoACgAaQBuAHAAdQB0ACAALQAgAGQAZQBnAHIAZQBlAHMAKQAgACoAIAAxADAAMAApACwAIAAgACAAIAAgACAAIAAgACAAIAAgAC8ALwAgAE0AaQBuAHUAdABlAHMAIABwAG8AcgB0AGkAbwBuAFwAbgAgACAAIAAgAGYAcgBhAGMAdABpAG8AbgBhAGwAXwBzAGUAYwBvAG4AZABzACwAIAAoACgAaQBuAHAAdQB0ACAAKgAgADEAMAAwACkAIAAtACAAVABSAFUATgBDACgAaQBuAHAAdQB0ACAAKgAgADEAMAAwACkAKQAgAC8AIAAwAC4ANgAsACAALwAvACAAQwBvAG4AdgBlAHIAdAAgAGYAcgBvAG0AIABkAGUAYwBpAG0AYQBsACAAbQBpAG4AdQB0AGUAcwAgAHQAbwAgAHMAZQBjAG8AbgBkAHMAXABuACAAIAAgACAAcgBlAHMAdQBsAHQALAAgAGQAZQBnAHIAZQBlAHMAIAArACAAKAAoAG0AaQBuAHUAdABlAHMAIAArACAAZgByAGEAYwB0AGkAbwBuAGEAbABfAHMAZQBjAG8AbgBkAHMAKQAgAC8AIAA2ADAAKQAsAFwAbgAgACAAIAAgAHIAZQBzAHUAbAB0AFwAbgAgACAAKQBcAG4AKQA7ACIAfQAsAHsAIgBwAGEAdABoACIAOgAiAC8AcAByAG8AagBlAGMAdABzAC8AUwB0AGEAdABzACIALAAiAHQAZQB4AHQAIgA6ACIALwAqAFwAbgBTAFQAQQBUAF8AUQBOAFQASQBMAEUAUwBcAG4AUgBlAHQAdQByAG4AcwAgAGUAcQB1AGEAbABsAHkAIABzAHAAYQBjAGUAZAAgAHEAdQBhAG4AdABpAGwAZQBzACAAZgByAG8AbQAgAGEAIABuAHUAbQBlAHIAaQBjACAAcgBhAG4AZwBlACwAIAB3AGkAdABoACAAbwBwAHQAaQBvAG4AYQBsACAAbABhAGIAZQBsAHMAIABhAG4AZAAgAGIAaQBuAC0AcwB0AHkAbABlACAAcwBsAGkAYwBpAG4AZwAuAFwAbgBcAG4AQQByAGcAdQBtAGUAbgB0AHMAOgBcAG4ALQAgAHIAYQBuAGcAZQAgACAAIAAgACAAIAAgABQgIABOAHUAbQBlAHIAaQBjACAAaQBuAHAAdQB0ACAAcgBhAG4AZwBlACAAKABlAC4AZwAuACwAIABBADEAOgBBADEAMAAwACkAXABuAC0AIABbAGQAaQB2AGkAcwBpAG8AbgBzAF0AIAAUICAAKABvAHAAdABpAG8AbgBhAGwAKQAgAE4AdQBtAGIAZQByACAAbwBmACAAcQB1AGEAbgB0AGkAbABlACAAaQBuAHQAZQByAHYAYQBsAHMAIAAoAGQAZQBmAGEAdQBsAHQAIAA9ACAAMQAwACkAXABuAC0AIABbAG0AbwBkAGUAXQAgACAAIAAgACAAIAAUICAAKABvAHAAdABpAG8AbgBhAGwAKQAgAFUAcwBlACAAXAAiAEwAQgBMAFwAIgAgAHQAbwAgAHIAZQB0AHUAcgBuACAAbABhAGIAZQBsAGUAZAAgADIALQBjAG8AbAB1AG0AbgAgAG8AdQB0AHAAdQB0ACAAKABkAGUAZgBhAHUAbAB0ACAAPQAgAHYAYQBsAHUAZQBzACAAbwBuAGwAeQApAFwAbgAtACAAWwBzAHQAeQBsAGUAXQAgACAAIAAgACAAFCAgACgAbwBwAHQAaQBvAG4AYQBsACkAIABcACIAQQBMAEwAXAAiACAAKABkAGUAZgBhAHUAbAB0ACkAIABpAG4AYwBsAHUAZABlAHMAIAAwACUAIABhAG4AZAAgADEAMAAwACUAOwAgAFwAIgBCAEkATgBcACIAIABlAHgAYwBsAHUAZABlAHMAIABiAG8AdABoACAAYgBvAHUAbgBkAGEAcgBpAGUAcwBcAG4ALQAgAFsAcAByAGUAYwBpAHMAaQBvAG4AXQAgABQgIAAoAG8AcAB0AGkAbwBuAGEAbAApACAARABlAGMAaQBtAGEAbAAgAHIAbwB1AG4AZABpAG4AZwAgAHAAcgBlAGMAaQBzAGkAbwBuACAAKABkAGUAZgBhAHUAbAB0ACAAPQAgADMAKQBcAG4AXABuAFIAZQB0AHUAcgBuAHMAOgBcAG4ALQAgAEEAIAB2AGUAcgB0AGkAYwBhAGwAIABsAGkAcwB0ACAAbwBmACAAcQB1AGEAbgB0AGkAbABlACAAdgBhAGwAdQBlAHMALAAgAG8AcgAgAGEAIAAyAC0AYwBvAGwAdQBtAG4AIABsAGEAYgBlAGwAZQBkACAAYQByAHIAYQB5ACwAIABkAGUAcABlAG4AZABpAG4AZwAgAG8AbgAgAG0AbwBkAGUALgBcAG4AXABuAEUAeABhAG0AcABsAGUAcwA6AFwAbgAtACAAUwBUAEEAVABfAFEATgBUAEkATABFAFMAKABBADEAOgBBADEAMAAwACkAIAAgACAAIAAgACAAIAAgACAAIAAgACAAIAAgACAAIAAgACAAIAAgACAAkiEgAEQAZQBjAGkAbABlAHMAXABuAC0AIABTAFQAQQBUAF8AUQBOAFQASQBMAEUAUwAoAEEAMQA6AEEAMQAwADAALAAgADQALAAgAFwAIgBMAEIATABcACIAKQAgACAAIAAgACAAIAAgACAAIAAgACAAkiEgAFEAdQBhAHIAdABpAGwAZQBzACAAdwBpAHQAaAAgAGwAYQBiAGUAbABzAFwAbgAtACAAUwBUAEEAVABfAFEATgBUAEkATABFAFMAKABBADEAOgBBADEAMAAwACwAIAAxADAALAAgACwAIABcACIAQgBJAE4AXAAiACkAIAAgACAAIAAgACAAIAAgAJIhIABJAG4AdABlAHIAbgBhAGwAIABiAGkAbgAgAGIAbwB1AG4AZABhAHIAaQBlAHMAIAAoADEAMAAtAHQAaQBsAGUAcwApAFwAbgAtACAAUwBUAEEAVABfAFEATgBUAEkATABFAFMAKABBADEAOgBBADEAMAAwACwAIAAyADAALAAgAFwAIgBMAEIATABcACIALAAgAFwAIgBCAEkATgBcACIALAAgADIAKQAgAJIhIABMAGEAYgBlAGwAZQBkACAAYgBpAG4AIABjAHUAdABzACAAdwBpAHQAaAAgADIALQBkAGkAZwBpAHQAIAByAG8AdQBuAGQAaQBuAGcAXABuACoALwBcAG4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XABuACAAIAAgACAAIAAgACAAIAAvAC8AIABWAGEAbABpAGQAYQB0AGkAbwBuAFwAbgAgACAAIAAgACAAIAAgACAAYwBvAHUAbgB0AFYAYQBsAHMALAAgAEMATwBVAE4AVAAoAHIAYQBuAGcAZQApACwAXABuACAAIAAgACAAIAAgACAAIABpAHMAVgBhAGwAaQBkACwAIABJAFMATgBVAE0AQgBFAFIAKABkAGkAdgBpAHMAaQBvAG4AcwApACAAKgAgAEkAUwBOAFUATQBCAEUAUgAoAHAAcgBlAGMAaQBzAGkAbwBuACkALABcAG4AXABuACAAIAAgACAAIAAgACAAIABJAEYAKABjAG8AdQBuAHQAVgBhAGwAcwAgAD0AIAAwACwAIABTAFEAUgBUACgAXAAiAGEAXAAiACkALABcAG4AIAAgACAAIAAgACAAIAAgACAAIAAgACAASQBGACgATwBSACgATgBPAFQAKABpAHMAVgBhAGwAaQBkACkALAAgAGQAaQB2AGkAcwBpAG8AbgBzACAAPAAgADEAKQAsACAAUwBRAFIAVAAoAC0AMQApACwAXABu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IAAvAC8AIABEAGUAZgBhAHUAbAB0ACAAPQAgAEEATABMAFwAbgAgACAAIAAgACAAIAAgACAAIAAgACAAIAAgACAAIAAgACAAIAAgACAAKQAsAFwAbgBcAG4AIAAgACAAIAAgACAAIAAgACAAIAAgACAAIAAgACAAIAAgACAAIAAgAC8ALwAgAEwAYQBiAGUAbAAgAGYAbwByAG0AYQB0AHQAaQBuAGcAXABuACAAIAAgACAAIAAgACAAIAAgACAAIAAgACAAIAAgACAAIAAgACAAIABwAGMAdABfAGwAYQBiAGUAbABzACwAIABUAEUAWABUACgAcABjAHQAaQBsAGUAcwAsACAAXAAiADAAJQBcACIAKQAsAFwAbg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FwAbgAgACAAIAAgACAAIAAgACAAIAAgACAAIAAgACAAIAAgACAAIAAgACAALwAvACAATwB1AHQAcAB1AHQAIABmAG8AcgBtAGEAdAB0AGkAbgBnAFwAbgAgACAAIAAgACAAIAAgACAAIAAgACAAIAAgACAAIAAgACAAIAAgACAASQBGACgAbQBvAGQAZQAgAD0AIABcACIATABCAEwAXAAiACwAXABuACAAIAAgACAAIAAgACAAIAAgACAAIAAgACAAIAAgACAAIAAgACAAIAAgACAAIAAgAEMASABPAE8AUwBFACgAewAxACwAIAAyAH0ALAAgAHAAYwB0AF8AbABhAGIAZQBsAHMALAAgAFYAQQBMAFUARQAoAHAAYwB0AF8AdgBhAGwAcwApACkALABcAG4AIAAgACAAIAAgACAAIAAgACAAIAAgACAAIAAgACAAIAAgACAAIAAgACAAIAAgACAAVABPAEMATwBMACgAcABjAHQAXwB2AGEAbABzACkAXABuACAAIAAgACAAIAAgACAAIAAgACAAIAAgACAAIAAgACAAIAAgACAAIAApAFwAbgAgACAAIAAgACAAIAAgACAAIAAgACAAIAAgACAAIAAgACkAXABuACAAIAAgACAAIAAgACAAIAAgACAAIAAgACkAXABuACAAIAAgACAAIAAgACAAIAApAFwAbgAgACAAIAAgACkAXABuACkAOwBcAG4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XABuAFMAVABBAFQAXwBTAFQARABFAFIAUgAgAD0AIABMAEEATQBCAEQAQQAoAGEAcgByAGEAeQAsACAAWwBtAG8AZABlAF0ALAAgAFsAbABhAGIAZQBsAF0ALAAgAFsAcAByAGUAYwBpAHMAaQBvAG4AXQAsAFwAbgAgACAAIAAgAEwARQBUACgAXABuACAAIAAgACAAIAAgACAAIABwAHIAZQBjAGkAcwBpAG8AbgAsACAASQBGACgASQBTAE8ATQBJAFQAVABFAEQAKABwAHIAZQBjAGkAcwBpAG8AbgApACwAIAAzACwAIABwAHIAZQBjAGkAcwBpAG8AbgApACwAXABuACAAIAAgACAAIAAgACAAIABsAGEAYgBlAGwALAAgAEkARgAoAEkAUwBPAE0ASQBUAFQARQBEACgAbABhAGIAZQBsACkALAAgAFwAIgBcACIALAAgAGwAYQBiAGUAbAApACwAXABuACAAIAAgACAAIAAgACAAIABtAG8AZABlACwAIABJAEYAKABJAFMATwBNAEkAVABUAEUARAAoAG0AbwBkAGUAKQAsACAAXAAiAHAAbwBwAFwAIgAsACAATABPAFcARQBSACgAbQBvAGQAZQApACkALABcAG4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gAC8ALwAgAGYAYQBsAGwAYgBhAGMAawBcAG4AIAAgACAAIAAgACAAIAAgACkALABcAG4AXABuACAAIAAgACAAIAAgACAAIAByAGUAcwB1AGwAdAAsACAAUgBPAFUATgBEACgAcwB0AGQAZQByAHIALAAgAHAAcgBlAGMAaQBzAGkAbwBuACkALABcAG4AXABuACAAIAAgACAAIAAgACAAIABJAEYAKABsAGEAYgBlAGwAIAA9ACAAXAAiAGwAYgBsAFwAIgAsACAAXAAiAFMAdABhAG4AZABhAHIAZAAgAEUAcgByAG8AcgA6ACAAXAAiACAAJgAgAHIAZQBzAHUAbAB0ACwAIAByAGUAcwB1AGwAdAApAFwAbgAgACAAIAAgACkAXABuACkAOwBcAG4AXABu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XABuAFMAVABBAFQAXwBNAEkATgBNAEEAWAAgAD0AIABMAEEATQBCAEQAQQAoAGEAcgByAGEAeQAsACAAWwBwAHIAZQBjAF0ALAAgAFsAbABhAGIAZQBsAF0ALAAgAFsAbABhAHkAbwB1AHQAXQAsAFwAbgAgACAAIAAgAEwARQBUACgAXABuACAAIAAgACAAIAAgACAAIABwAHIAZQBjACwAIABJAEYAKABJAFMATwBNAEkAVABUAEUARAAoAHAAcgBlAGMAKQAsACAAMwAsACAAcAByAGUAYwApACwAXABuACAAIAAgACAAIAAgACAAIABsAGEAYgBlAGwALAAgAEkARgAoAEkAUwBPAE0ASQBUAFQARQBEACgAbABhAGIAZQBsACkALAAgAFwAIgBcACIALAAgAFUAUABQAEUAUgAoAGwAYQBiAGUAbAApACkALABcAG4AIAAgACAAIAAgACAAIAAgAGwAYQB5AG8AdQB0ACwAIABJAEYAKABJAFMATwBNAEkAVABUAEUARAAoAGwAYQB5AG8AdQB0ACkALAAgAFwAIgBWAFwAIgAsACAAVQBQAFAARQBSACgAbABhAHkAbwB1AHQAKQApACwAXABuAFwAbgAgACAAIAAgACAAIAAgACAAbQBpAG4AXwB2AGEAbAAsACAAUgBPAFUATgBEACgATQBJAE4AKABhAHIAcgBhAHkAKQAsACAAcAByAGUAYwApACwAXABuACAAIAAgACAAIAAgACAAIABtAGEAeABfAHYAYQBsACwAIABSAE8AVQBOAEQAKABNAEEAWAAoAGEAcgByAGEAeQApACwAIABwAHIAZQBjACkALABcAG4AXABuACAAIAAgACAAIAAgACAAIAByAGUAcwB1AGwAdABfAGwAYgBsACwAIABWAFMAVABBAEMASwAoAFwAbgAgACAAIAAgACAAIAAgACAAIAAgACAAIABIAFMAVABBAEMASwAoAFwAIgBNAGkAbgBcACIALAAgAG0AaQBuAF8AdgBhAGwAKQAsAFwAbgAgACAAIAAgACAAIAAgACAAIAAgACAAIABIAFMAVABBAEMASwAoAFwAIgBNAGEAeABcACIALAAgAG0AYQB4AF8AdgBhAGwAKQBcAG4AIAAgACAAIAAgACAAIAAgACkALABcAG4AXABuACAAIAAgACAAIAAgACAAIAByAGUAcwB1AGwAdABfAHIAYQB3ACwAIABJAEYAKABsAGEAeQBvAHUAdAAgAD0AIABcACIASABcACIALABcAG4AIAAgACAAIAAgACAAIAAgACAAIAAgACAASABTAFQAQQBDAEsAKABtAGkAbgBfAHYAYQBsACwAIABtAGEAeABfAHYAYQBsACkALABcAG4AIAAgACAAIAAgACAAIAAgACAAIAAgACAAVgBTAFQAQQBDAEsAKABtAGkAbgBfAHYAYQBsACwAIABtAGEAeABfAHYAYQBsACkAXABuACAAIAAgACAAIAAgACAAIAApACwAXABuAFwAbgAgACAAIAAgACAAIAAgACAASQBGACgAbABhAGIAZQBsACAAPQAgAFwAIgBMAEIATABcACIALAAgAHIAZQBzAHUAbAB0AF8AbABiAGwALAAgAHIAZQBzAHUAbAB0AF8AcgBhAHcAKQBcAG4AIAAgACAAIAApAFwAbgApADsAXABuAFwAbgAvACoAIABTAFQAQQBUAF8AUwBVAE0ATQBBAFIAWQBcAG4AXABuAFAAcgBvAHYAaQBkAGUAcwAgAGEAIABjAG8AbgBjAGkAcwBlACAAcwB0AGEAdABpAHMAdABpAGMAYQBsACAAcwB1AG0AbQBhAHIAeQAgAGYAbwByACAAYQAgAG4AdQBtAGUAcgBpAGMAIABhAHIAcgBhAHkALgBcAG4AXABuAEEAcgBnAHUAbQBlAG4AdABzADoAXABuAC0AIAByAGEAbgBnAGUAIAAgAD0AIABUAGgAZQAgAGQAYQB0AGEAcwBlAHQAIAB0AG8AIABlAHYAYQBsAHUAYQB0AGUAXABuAC0AIABtAG8AZABlACAAIAAgAD0AIABPAHAAdABpAG8AbgBhAGwAOwAgAFwAIgBTAE0AUgBZAFwAIgAgAG8AcgAgAFwAIgBTAFAAQQBOAFwAIgAgACgAZABlAGYAYQB1AGwAdAA6ACAAUwBQAEEATgApAFwAbgAgACAAIAAgACAAIAAgACAAIAAgACAAUwBNAFIAWQA6ACAATQBpAG4ALAAgAE0AZQBhAG4ALAAgAE0AZQBkAGkAYQBuACwAIABNAGEAeAAsACAAUwB0AGQAZQB2AFwAbgAgACAAIAAgACAAIAAgACAAIAAgACAAUwBQAEEATgA6ACAATQBpAG4ALAAgALwDEiLDAywAIABNAGUAYQBuACwAIAC8AysAwwMsACAATQBhAHgALAAgAFMAdABkAGUAdgBcAG4ALQAgAGwAYQBiAGUAbAAgACAAPQAgAE8AcAB0AGkAbwBuAGEAbAA7ACAAXAAiAEwAQgBMAFwAIgAgAHIAZQB0AHUAcgBuAHMAIABhACAAdAB3AG8ALQBjAG8AbAB1AG0AbgAgAGwAYQBiAGUAbABlAGQAIABhAHIAcgBhAHkAXABuAC0AIABwAHIAZQBjACAAIAAgAD0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QAZQBwAGUAbgBkAGkAbgBnACAAbwBuACAAbQBvAGQAZQAgAGEAbgBkACAAbABhAGIAZQBsACAAZgBsAGEAZwBcAG4AXABuAE0AbwBkAGUAIABEAGUAcwBjAHIAaQBwAHQAaQBvAG4AcwA6AFwAbgAtACAAXAAiAFMATQBSAFkAXAAiADoAIABCAGEAbABhAG4AYwBlAGQAIABzAG4AYQBwAHMAaABvAHQAIABvAGYAIABjAGUAbgB0AGUAcgAgAGEAbgBkACAAcwBwAHIAZQBhAGQAXABuAC0AIABcACIAUwBQAEEATgBcACIAOgAgAEUAbQBwAGgAYQBzAGkAegBlAHMAIABkAGkAcwB0AHIAaQBiAHUAdABpAG8AbgAgAHMAaABhAHAAZQAgAGEAcgBvAHUAbgBkACAAdABoAGUAIABtAGUAYQBuACAAKAC8AyAAsQAgAMMDKQAsAFwAbgAgACAAIAAgACAAIAAgACAAIAAgAHcAaQB0AGgAIABjAGwAZQBhAHIAIABsAGEAYgBlAGwAaQBuAGcAIABvAGYAIABNAGUAYQBuACAAKAC8AykAIABhAG4AZAAgAFMAdABkAGUAdgAgACgAwwMpACAAbwBuAGwAeQBcAG4AXABuACoALwBcAG4AXABuAFMAVABBAFQAXwBTAFUATQBNAEEAUgBZACAAPQAgAEwAQQBNAEIARABBACgAcgBhAG4AZwBlACwAIABbAG0AbwBkAGUAXQAsACAAWwBsAGEAYgBlAGwAXQAsACAAWwBwAHIAZQBjAF0ALABcAG4AIAAgACAAIABMAEUAVAAoAFwAbgAgACAAIAAgACAAIAAgACAAcgBhAHcAXwBtAG8AZABlACwAIABJAEYAKABJAFMATwBNAEkAVABUAEUARAAoAG0AbwBkAGUAKQAsACAAXAAiAFMAUABBAE4AXAAiACwAIABVAFAAUABFAFIAKABtAG8AZABlACkAKQAsAFwAbgAgACAAIAAgACAAIAAgACAAbQBvAGQAZQAsACAASQBGACgATwBSACgAcgBhAHcAXwBtAG8AZABlACAAPQAgAFwAIgBTAE0AUgBZAFwAIgAsACAAcgBhAHcAXwBtAG8AZABlACAAPQAgAFwAIgBTAFAAQQBOAFwAIgApACwAIAByAGEAdwBfAG0AbwBkAGUALAAgADEALwAwACkALABcAG4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XABuACAAIAAgACAAIAAgACAAIAAvAC8AIABTAHUAbQBtAGEAcgB5ACAAbQBvAGQAZQA6ACAATQBpAG4ALAAgAE0AZQBhAG4ALAAgAE0AZQBkAGkAYQBuACwAIABNAGEAeAAsACAAUwB0AGQAZQB2AFwAbgAgACAAIAAgACAAIAAgACAAcwBtAHIAeQBfAHYAYQBsAHMALAAgAFYAUwBUAEEAQwBLACgAXABuACAAIAAgACAAIAAgACAAIAAgACAAIAAgAG0AaQBuAF8AdgBhAGwALABcAG4AIAAgACAAIAAgACAAIAAgACAAIAAgACAAvAMsAFwAbgAgACAAIAAgACAAIAAgACAAIAAgACAAIABtAGUAZABfAHYAYQBsACwAXABuACAAIAAgACAAIAAgACAAIAAgACAAIAAgAG0AYQB4AF8AdgBhAGwALABcAG4AIAAgACAAIAAgACAAIAAgACAAIAAgACAAwwNcAG4AIAAgACAAIAAgACAAIAAgACkALABcAG4AIAAgACAAIAAgACAAIAAgAHMAbQByAHkAXwBsAGEAYgBlAGwAcwAsACAAVgBTAFQAQQBDAEsAKABcACIATQBpAG4AXAAiACwAIABcACIATQBlAGEAbgAgACgAvAMpAFwAIgAsACAAXAAiAE0AZQBkAGkAYQBuAFwAIgAsACAAXAAiAE0AYQB4AFwAIgAsACAAXAAiAFMAdABkAGUAdgAgACgAwwMpAFwAIgApACwAXABuAFwAbgAgACAAIAAgACAAIAAgACAALwAvACAAUwBwAGEAbgAgAG0AbwBkAGUAOgAgAE0AaQBuACwAIAC8AxIiwwMsACAATQBlAGEAbgAsACAAvAMrAMMDLAAgAE0AYQB4ACwAIADDA1wAbgAgACAAIAAgACAAIAAgACAAcwBwAGEAbgBfAHYAYQBsAHMALAAgAFYAUwBUAEEAQwBLACgAXABuACAAIAAgACAAIAAgACAAIAAgACAAIAAgAG0AaQBuAF8AdgBhAGwALABcAG4AIAAgACAAIAAgACAAIAAgACAAIAAgACAAvANfAG0AaQBuAHUAcwBfAMMDLABcAG4AIAAgACAAIAAgACAAIAAgACAAIAAgACAAvAMsAFwAbgAgACAAIAAgACAAIAAgACAAIAAgACAAIAC8A18AcABsAHUAcwBfAMMDLABcAG4AIAAgACAAIAAgACAAIAAgACAAIAAgACAAbQBhAHgAXwB2AGEAbAAsAFwAbgAgACAAIAAgACAAIAAgACAAIAAgACAAIADDA1wAbgAgACAAIAAgACAAIAAgACAAKQAsAFwAbgAgACAAIAAgACAAIAAgACAAcwBwAGEAbgBfAGwAYQBiAGUAbABzACwAIABWAFMAVABBAEMASwAoAFwAIgBNAGkAbgBcACIALAAgAFwAIgC8AyAAEiIgAMMDXAAiACwAIABcACIATQBlAGEAbgAgACgAvAMpAFwAIgAsACAAXAAiALwDIAArACAAwwNcACIALAAgAFwAIgBNAGEAeABcACIALAAgAFwAIgBTAHQAZABlAHYAIAAoAMMDKQBcACIAKQAsAFwAbgBcAG4AIAAgACAAIAAgACAAIAAgAHMAZQBsAGUAYwB0AGUAZABfAHYAYQBsAHMALAAgAEkARgAoAG0AbwBkAGUAIAA9ACAAXAAiAFMAUABBAE4AXAAiACwAIABzAHAAYQBuAF8AdgBhAGwAcwAsACAAcwBtAHIAeQBfAHYAYQBsAHMAKQAsAFwAbgAgACAAIAAgACAAIAAgACAAcwBlAGwAZQBjAHQAZQBkAF8AbABhAGIAZQBsAHMALAAgAEkARgAoAG0AbwBkAGUAIAA9ACAAXAAiAFMAUABBAE4AXAAiACwAIABzAHAAYQBuAF8AbABhAGIAZQBsAHMALAAgAHMAbQByAHkAXwBsAGEAYgBlAGwAcwApACwAXABuAFwAbgAgACAAIAAgACAAIAAgACAAcgBvAHUAbgBkAGUAZABfAHYAYQBsAHMALAAgAFIATwBVAE4ARAAoAHMAZQBsAGUAYwB0AGUAZABfAHYAYQBsAHMALAAgAHAAcgBlAGMAKQAsAFwAbgBcAG4AIAAgACAAIAAgACAAIAAgAHIAZQBzAHUAbAB0ACwAIABJAEYAKABsAGEAYgBlAGwAIAA9ACAAXAAiAEwAQgBMAFwAIgAsAFwAbgAgACAAIAAgACAAIAAgACAAIAAgACAAIABIAFMAVABBAEMASwAoAHMAZQBsAGUAYwB0AGUAZABfAGwAYQBiAGUAbABzACwAIAByAG8AdQBuAGQAZQBkAF8AdgBhAGwAcwApACwAXABuACAAIAAgACAAIAAgACAAIAAgACAAIAAgAHIAbwB1AG4AZABlAGQAXwB2AGEAbABzAFwAbgAgACAAIAAgACAAIAAgACAAKQAsAFwAbgBcAG4AIAAgACAAIAAgACAAIAAgAHIAZQBzAHUAbAB0AFwAbgAgACAAIAAgACkAXABuACkAOwBcAG4AXABuAC8AKgAgAFMAVABBAFQAXwBHAEUATwA1AFwAbgBcAG4AUgBlAHQAdQByAG4AcwAgAGEAIABnAGUAbwBtAGUAdAByAGkAYwAgAGYAaQB2AGUALQBwAG8AaQBuAHQAIABzAHUAbQBtAGEAcgB5ACAAbwBmACAAYQAgAG4AdQBtAGUAcgBpAGMAIAByAGEAbgBnAGUALgBcAG4AXABuAFQAaABpAHMAIABpAHMAIABOAE8AVAAgAGEAIABwAGUAcgBjAGUAbgB0AGkAbABlAC0AYgBhAHMAZQBkACAAcwB1AG0AbQBhAHIAeQAgACgAbABpAGsAZQAgAHEAdQBhAHIAdABpAGwAZQBzACkALABcAG4AYgB1AHQAIABhACAAcwB5AG0AbQBlAHQAcgBpAGMAIABwAG8AcwBpAHQAaQBvAG4AYQBsACAAcwBjAGEAZgBmAG8AbABkACAAYQBjAHIAbwBzAHMAIAB0AGgAZQAgAE0AaQBuABMgTQBhAHgAIABzAHAAYQBuAC4AXABuAFwAbgBBAHIAZwB1AG0AZQBuAHQAcwA6AFwAbgAtACAAcgBhAG4AZwBlACAAIAAgADoAIABSAGUAcQB1AGkAcgBlAGQAIABhAHIAcgBhAHkAIABvAGYAIABuAHUAbQBlAHIAaQBjACAAdgBhAGwAdQBlAHMAXABuAC0AIABsAGEAYgBlAGwAIAAgACAAOgAgAE8AcAB0AGkAbwBuAGEAbAA7ACAAdQBzAGUAIABcACIATABCAEwAXAAiACAAZgBvAHIAIABsAGEAYgBlAGwAZQBkACAAMgAtAGMAbwBsAHUAbQBuACAAbwB1AHQAcAB1AHQAIAAoAGQAZQBmAGEAdQBsAHQAOgAgAHUAbgBsAGEAYgBlAGwAZQBkACkAXABuAC0AIABwAHIAZQBjACAAIAAgACAAOg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aQBuAGMAbAB1AGQAaQBuAGcAOgBcAG4AIAAgAHsATQBpAG4ALAAgAEwAbwB3AGUAcgAgAE0AaQBkACwAIABNAGkAZAByAGEAbgBnAGUALAAgAFUAcABwAGUAcgAgAE0AaQBkACwAIABNAGEAeAB9AFwAbgBcAG4ARgBvAHIAbQB1AGwAYQBzADoAXABuAC0AIABNAGkAbgAgACAAIAAgACAAIAAgACAAIAA9ACAATQBJAE4AKAByAGEAbgBnAGUAKQBcAG4ALQAgAE0AaQBkAHIAYQBuAGcAZQAgACAAIAAgAD0AIAAoAE0ASQBOACAAKwAgAE0AQQBYACkAIAAvACAAMgBcAG4ALQAgAEwAbwB3AGUAcgAgAE0AaQBkACAAIAAgAD0AIAAoAE0ASQBOACAAKwAgAE0AaQBkAHIAYQBuAGcAZQApACAALwAgADIAXABuAC0AIABVAHAAcABlAHIAIABNAGkAZAAgACAAIAA9ACAAKABNAGkAZAByAGEAbgBnAGUAIAArACAATQBBAFgAKQAgAC8AIAAyAFwAbgAtACAATQBhAHgAIAAgACAAIAAgACAAIAAgACAAPQAgAE0AQQBYACgAcgBhAG4AZwBlACkAXABuAFwAbgBOAG8AdABlADoAXABuAC0AIABUAGgAaQBzACAAZgB1AG4AYwB0AGkAbwBuACAAaQBzACAAKgAqAGQAaQBzAHQAcgBpAGIAdQB0AGkAbwBuAC0AYQBnAG4AbwBzAHQAaQBjACoAKgAuACAASQB0ACAAcgBlAHAAbwByAHQAcwAgAG4AdQBtAGUAcgBpAGMAIABwAG8AcwBpAHQAaQBvAG4AIABvAG4AbAB5ACwAIABcAG4AIAAgAHcAaQB0AGgAbwB1AHQAIAByAGUAZwBhAHIAZAAgAHQAbwAgAHQAaABlACAAZgByAGUAcQB1AGUAbgBjAHkAIABvAHIAIABjAGwAdQBzAHQAZQByAGkAbgBnACAAbwBmACAAdgBhAGwAdQBlAHMALgAgAFQAaABhAHQAIABtAGUAYQBuAHMAIABkAGEAdABhAHMAZQB0AHMAIABcAG4AIAAgAHcAaQB0AGgAIABoAGkAZwBoAGwAeQAgAHMAawBlAHcAZQBkACAAbwByACAAcgBlAHAAZQB0AGkAdABpAHYAZQAgAHYAYQBsAHUAZQBzACAAbQBhAHkAIABzAHQAaQBsAGwAIAB5AGkAZQBsAGQAIABlAHYAZQBuAGwAeQAgAHMAcABhAGMAZQBkACAAcgBlAHMAdQBsAHQAcwAgAFwAbgAgACAAaQBmACAATQBpAG4AIABhAG4AZAAgAE0AYQB4ACAAcgBlAG0AYQBpAG4AIAB0AGgAZQAgAHMAYQBtAGUALgAgAEkAdAAgAGkAcwAgAGIAZQBzAHQAIAB1AG4AZABlAHIAcwB0AG8AbwBkACAAYQBzACAAYQAgACoAcwB5AG0AbQBlAHQAcgB5ACAAcwBjAGEAZgBmAG8AbABkACoALAAgAFwAbgAgACAAbgBvAHQAIABhACAAZABpAHMAdAByAGkAYgB1AHQAaQBvAG4AYQBsACAAYQBuAGEAbAB5AHMAaQBzAC4AXABuAFwAbgAqAC8AXABu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FwAbgAgACAAIAAgACAAIAAgACAAbQBpAG4AXwB2AGEAbAAsACAATQBJAE4AKAByAGEAbgBnAGUAKQAsAFwAbgAgACAAIAAgACAAIAAgACAAbQBhAHgAXwB2AGEAbAAsACAATQBBAFgAKAByAGEAbgBnAGUAKQAsAFwAbgAgACAAIAAgACAAIAAgACAAbQBpAGQAcgBhAG4AZwBlACwAIAAoAG0AaQBuAF8AdgBhAGwAIAArACAAbQBhAHgAXwB2AGEAbAApACAALwAgADIALABcAG4AIAAgACAAIAAgACAAIAAgAGwAbwB3AGUAcgBfAG0AaQBkACwAIAAoAG0AaQBuAF8AdgBhAGwAIAArACAAbQBpAGQAcgBhAG4AZwBlACkAIAAvACAAMgAsAFwAbgAgACAAIAAgACAAIAAgACAAdQBwAHAAZQByAF8AbQBpAGQALAAgACgAbQBpAGQAcgBhAG4AZwBlACAAKwAgAG0AYQB4AF8AdgBhAGwAKQAgAC8AIAAyACwAXABuAFwAbgAgACAAIAAgACAAIAAgACAAcgBhAHcAXwB2AGEAbABzACwAIABWAFMAVABBAEMASwAoAG0AaQBuAF8AdgBhAGwALAAgAGwAbwB3AGUAcgBfAG0AaQBkACwAIABtAGkAZAByAGEAbgBnAGUALAAgAHUAcABwAGUAcgBfAG0AaQBkACwAIABtAGEAeABfAHYAYQBsACkALABcAG4AIAAgACAAIAAgACAAIAAgAHIAbwB1AG4AZABlAGQAXwB2AGEAbABzACwAIABSAE8AVQBOAEQAKAByAGEAdwBfAHYAYQBsAHMALAAgAHAAcgBlAGMAKQAsAFwAbgBcAG4AIAAgACAAIAAgACAAIAAgAGwAYQBiAGUAbABzACwAIABWAFMAVABBAEMASwAoAFwAIgBNAGkAbgBcACIALAAgAFwAIgBMAG8AdwBlAHIAIABNAGkAZABcACIALAAgAFwAIgBNAGkAZAByAGEAbgBnAGUAXAAiACwAIABcACIAVQBwAHAAZQByACAATQBpAGQAXAAiACwAIABcACIATQBhAHgAXAAiACkALABcAG4AXABuACAAIAAgACAAIAAgACAAIABvAHUAdABwAHUAdAAsACAASQBGACgAbABhAGIAZQBsACAAPQAgAFwAIgBMAEIATABcACIALAAgAEgAUwBUAEEAQwBLACgAbABhAGIAZQBsAHMALAAgAHIAbwB1AG4AZABlAGQAXwB2AGEAbABzACkALAAgAHIAbwB1AG4AZABlAGQAXwB2AGEAbABzACkALABcAG4AXABuACAAIAAgACAAIAAgACAAIABvAHUAdABwAHUAdABcAG4AIAAgACAAIAApAFwAbgApADsAXABuAFwAbgAvACoAIABTAFQAQQBUAF8AVgBPAEwAVQBNAEUAXABuAFwAbgBSAGUAdAB1AHIAbgBzACAAYgBhAHMAaQBjACAAdgBvAGwAdQBtAGUAdAByAGkAYwAgAHMAdABhAHQAcwAgAGYAbwByACAAYQAgAG4AdQBtAGUAcgBpAGMAIAByAGEAbgBnAGU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MAbwB1AG4AdABcAG4ALQAgAFMAdQBtAFwAbgAtACAATQBlAGEAbgAgACgAvAMpAFwAbgBcAG4AKgAvAFwAbg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XABuACAAIAAgACAAIAAgACAAIABjAG8AdQBuAHQAXwB2AGEAbAAsACAAQwBPAFUATgBUACgAcgBhAG4AZwBlACkALABcAG4AIAAgACAAIAAgACAAIAAgAHMAdQBtAF8AdgBhAGwALAAgAFMAVQBNACgAcgBhAG4AZwBlACkALABcAG4AIAAgACAAIAAgACAAIAAgAG0AZQBhAG4AXwB2AGEAbAAsACAASQBGACgAYwBvAHUAbgB0AF8AdgBhAGwAIAA+ACAAMAAsACAAQQBWAEUAUgBBAEcARQAoAHIAYQBuAGcAZQApACwAIABOAEEAKAApACkALABcAG4AXABuACAAIAAgACAAIAAgACAAIAByAGEAdwBfAHYAYQBsAHMALAAgAFYAUwBUAEEAQwBLACgAYwBvAHUAbgB0AF8AdgBhAGwALAAgAHMAdQBtAF8AdgBhAGwALAAgAG0AZQBhAG4AXwB2AGEAbAApACwAXABuACAAIAAgACAAIAAgACAAIAByAG8AdQBuAGQAZQBkAF8AdgBhAGwAcwAsACAAUgBPAFUATgBEACgAcgBhAHcAXwB2AGEAbABzACwAIABwAHIAZQBjACkALABcAG4AXABuACAAIAAgACAAIAAgACAAIABsAGEAYgBlAGwAcwAsACAAVgBTAFQAQQBDAEsAKABcACIAQwBvAHUAbgB0AFwAIgAsACAAXAAiAFMAdQBtAFwAIgAsACAAXAAiAE0AZQBhAG4AIAAoALwDKQBcACIAKQAsAFwAbgBcAG4AIAAgACAAIAAgACAAIAAgAG8AdQB0AHAAdQB0ACwAIABJAEYAKABsAGEAYgBlAGwAIAA9ACAAXAAiAEwAQgBMAFwAIgAsACAASABTAFQAQQBDAEsAKABsAGEAYgBlAGwAcwAsACAAcgBvAHUAbgBkAGUAZABfAHYAYQBsAHMAKQAsACAAcgBvAHUAbgBkAGUAZABfAHYAYQBsAHMAKQAsAFwAbgBcAG4AIAAgACAAIAAgACAAIAAgAG8AdQB0AHAAdQB0AFwAbgAgACAAIAAgACkAXABuACkAOwBcAG4AXABuAC8AKgAgAFMAVABBAFQAXwBTAEgAQQBQAEUAXABuAFwAbgBSAGUAdAB1AHIAbgBzACAAYwBlAG4AdAByAGEAbAAgAHQAZQBuAGQAZQBuAGMAeQAgAGEAbgBkACAAcwBoAGEAcABlACAAZABlAHMAYwByAGkAcAB0AG8AcgBzACAAZgBvAHIAIABhACAAbgB1AG0AZQByAGkAYwAgAGEAcgByAGEAeQAuAFwAbgBcAG4AQQByAGcAdQBtAGUAbgB0AHMAOgBcAG4ALQAgAHIAYQBuAGcAZQAgACAAIAA6ACAAUgBlAHEAdQBpAHIAZQBkACAAbgB1AG0AZQByAGkAYwAgAGEAcgByAGEAeQBcAG4ALQAgAGwAYQBiAGUAbAAgACAAIAA6ACAATwBwAHQAaQBvAG4AYQBsADsAIAB1AHMAZQAgAFwAIgBMAEIATABcACIAIABmAG8AcgAgAGwAYQBiAGUAbABlAGQAIAAyAC0AYwBvAGwAdQBtAG4AIABvAHUAdABwAHUAdABcAG4ALQAgAHAAcgBlAGMAIAAgACAAIAA6ACAATwBwAHQAaQBvAG4AYQBsADsAIABuAHUAbQBiAGUAcgAgAG8AZgAgAGQAZQBjAGkAbQBhAGwAIABwAGwAYQBjAGUAcwAgACgAZABlAGYAYQB1AGwAdAA6ACAAMwApAFwAbgBcAG4AUgBlAHQAdQByAG4AcwA6AFwAbgAtACAATQBlAGEAbgAgACgAvAMpAFwAbgAtACAATQBlAGQAaQBhAG4AXABuAC0AIABTAGsAZQB3AC4AUABcAG4ALQAgAEsAdQByAHQALgBQAFwAbgBcAG4ATgBvAHQAZQA6AFwAbgAtACAAUgBlAHQAdQByAG4AcwAgACMATgAvAEEAIABmAG8AcgAgAFMAawBlAHcAIABvAHIAIABLAHUAcgB0AG8AcwBpAHMAIABpAGYAIABmAGUAdwBlAHIAIAB0AGgAYQBuACAAMwAgAHYAYQBsAHUAZQBzACAAYQByAGUAIABwAHIAZQBzAGUAbgB0AC4AXABuAFwAbgAqAC8AXABu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XABuACAAIAAgACAAIAAgACAAIABjAG8AdQBuAHQAXwB2AGEAbAAsACAAQwBPAFUATgBUACgAcgBhAG4AZwBlACkALABcAG4AXABuACAAIAAgACAAIAAgACAAIAC8AywAIABJAEYAKABjAG8AdQBuAHQAXwB2AGEAbAAgAD4AIAAwACwAIABBAFYARQBSAEEARwBFACgAcgBhAG4AZwBlACkALAAgAE4AQQAoACkAKQAsAFwAbgAgACAAIAAgACAAIAAgACAAbQBlAGQALAAgAEkARgAoAGMAbwB1AG4AdABfAHYAYQBsACAAPgAgADAALAAgAE0ARQBEAEkAQQBOACgAcgBhAG4AZwBlACkALAAgAE4AQQAoACkAKQAsAFwAbgAgACAAIAAgACAAIAAgACAAcwBrAGUAdwAsACAASQBGACgAYwBvAHUAbgB0AF8AdgBhAGwAIAA+ACAAMgAsACAAUwBLAEUAVwAuAFAAKAByAGEAbgBnAGUAKQAsACAATgBBACgAKQApACwAXABuACAAIAAgACAAIAAgACAAIABrAHUAcgB0ACwAIABJAEYAKABjAG8AdQBuAHQAXwB2AGEAbAAgAD4AIAAzACwAIABLAFUAUgBUACgAcgBhAG4AZwBlACkALAAgAE4AQQAoACkAKQAsAFwAbgBcAG4AIAAgACAAIAAgACAAIAAgAHIAYQB3AF8AdgBhAGwAcwAsACAAVgBTAFQAQQBDAEsAKAC8AywAIABtAGUAZAAsACAAcwBrAGUAdwAsACAAawB1AHIAdAApACwAXABuACAAIAAgACAAIAAgACAAIAByAG8AdQBuAGQAZQBkAF8AdgBhAGwAcwAsACAAUgBPAFUATgBEACgAcgBhAHcAXwB2AGEAbABzACwAIABwAHIAZQBjACkALABcAG4AXABuACAAIAAgACAAIAAgACAAIABsAGEAYgBlAGwAcwAsACAAVgBTAFQAQQBDAEsAKABcACIATQBlAGEAbgAgACgAvAMpAFwAIgAsACAAXAAiAE0AZQBkAGkAYQBuAFwAIgAsACAAXAAiAFMAawBlAHcAIAAoAFAAKQBcACIALAAgAFwAIgBLAHUAcgB0AG8AcwBpAHMAIAAoAFAAKQBcACIAKQAsAFwAbgBcAG4AIAAgACAAIAAgACAAIAAgAG8AdQB0AHAAdQB0ACwAIABJAEYAKABsAGEAYgBlAGwAIAA9ACAAXAAiAEwAQgBMAFwAIgAsACAASABTAFQAQQBDAEsAKABsAGEAYgBlAGwAcwAsACAAcgBvAHUAbgBkAGUAZABfAHYAYQBsAHMAKQAsACAAcgBvAHUAbgBkAGUAZABfAHYAYQBsAHMAKQAsAFwAbgBcAG4AIAAgACAAIAAgACAAIAAgAG8AdQB0AHAAdQB0AFwAbgAgACAAIAAgACkAXABuACkAOwBcAG4AXABuAFwAbgBcAG4AXABuAFwAbgAvACoAIABTAFQAQQBUAF8ATQBJAEQAUgBBAE4ARwBFAFwAbgBcAG4AUgBlAHQAdQByAG4AcwAgAHQAaABlACAAbQBpAGQAcgBhAG4AZwBlACAAbwBmACAAYQAgAG4AdQBtAGUAcgBpAGMAIABhAHIAcgBhAHkAOgAgAHQAaABlACAAYQB2AGUAcgBhAGcAZQAgAG8AZgAgAGkAdABzACAATQBpAG4AIABhAG4AZAAgAE0AYQB4AC4AXABuAFwAbgBBAHIAZwB1AG0AZQBuAHQAcwA6AFwAbgAtACAAYQByAHIAYQB5ACAAOgAgAHIAZQBxAHUAaQByAGUAZAAgAG4AdQBtAGUAcgBpAGMAIAByAGEAbgBnAGUAXABuAC0AIABwAHIAZQBjACAAIAA6ACAAbwBwAHQAaQBvAG4AYQBsACAAbgB1AG0AYgBlAHIAIABvAGYAIABkAGUAYwBpAG0AYQBsACAAcABsAGEAYwBlAHMAIAAoAGQAZQBmAGEAdQBsAHQAIAA9ACAAMwApAFwAbgBcAG4AUgBlAHQAdQByAG4AcwA6AFwAbgAtACAAQQAgAHMAaQBuAGcAbABlACAAbgB1AG0AZQByAGkAYwAgAHYAYQBsAHUAZQA6ACAAKABNAEkATgAgACsAIABNAEEAWAApACAALwAgADIAXABuAFwAbgAqAC8AXABuAFwAbgBTAFQAQQBUAF8ATQBJAEQAUgBBAE4ARwBFACAAPQAgAEwAQQBNAEIARABBACgAYQByAHIAYQB5ACwAIABbAHAAcgBlAGMAXQAsAFwAbgAgACAAIAAgAEwARQBUACgAXABuACAAIAAgACAAIAAgACAAIABwAHIAZQBjACwAIABJAEYAKABJAFMATwBNAEkAVABUAEUARAAoAHAAcgBlAGMAKQAsACAAMwAsACAAcAByAGUAYwApACwAXABuACAAIAAgACAAIAAgACAAIABjAG8AdQBuAHQAXwB2AGEAbAAsACAAQwBPAFUATgBUACgAYQByAHIAYQB5ACkALABcAG4AIAAgACAAIAAgACAAIAAgAG0AaQBkAHIAYQBuAGcAZQAsACAASQBGACgAYwBvAHUAbgB0AF8AdgBhAGwAIAA9ACAAMAAsACAATgBBACgAKQAsACAAQQBWAEUAUgBBAEcARQAoAE0ASQBOACgAYQByAHIAYQB5ACkALAAgAE0AQQBYACgAYQByAHIAYQB5ACkAKQApACwAXABuACAAIAAgACAAIAAgACAAIABSAE8AVQBOAEQAKABtAGkAZAByAGEAbgBnAGUALAAgAHAAcgBlAGMAKQBcAG4AIAAgACAAIAApAFwAbgApADsAXABuAFwAbgBcAG4ALwAqACAAUwBUAEEAVABfAEYAUgBFAFEAXwBUAEEAQgBMAEUAXABuAFwAbgBHAGUAbgBlAHIAYQB0AGUAcwAgAGEAIABmAHIAZQBxAHUAZQBuAGMAeQAgAHQAYQBiAGwAZQAgAGYAcgBvAG0AIABhACAAbgB1AG0AZQByAGkAYwAgAHIAYQBuAGcAZQAuAFwAbgBcAG4AQQByAGcAdQBtAGUAbgB0AHMAOgBcAG4ALQAgAHIAYQBuAGcAZQAgADoAIAByAGUAcQB1AGkAcgBlAGQAIABuAHUAbQBlAHIAaQBjACAAaQBuAHAAdQB0AFwAbgAtACAAbQBvAGQAZQAgACAAOgAgAG8AcAB0AGkAbwBuAGEAbAAgAGsAZQB5AHcAbwByAGQAIAAoAFwAIgBMAEIATABcACIAIAB0AG8AIABpAG4AYwBsAHUAZABlACAAYwBvAGwAdQBtAG4AIABoAGUAYQBkAGUAcgBzADsAIABkAGUAZgBhAHUAbAB0ACAAPQAgAG4AbwAgAGgAZQBhAGQAZQByAHMAKQBcAG4AXABuAFIAZQB0AHUAcgBuAHMAOgBcAG4ALQAgAEEAIAAzAC0AYwBvAGwAdQBtAG4AIABzAHAAaQBsAGwAZQBkACAAYQByAHIAYQB5ADoAXABuACAAIAAgACAAIiAgAEMAbwBsAHUAbQBuACAAMQA6ACAAVQBuAGkAcQB1AGUAIAB2AGEAbAB1AGUAcwBcAG4AIAAgACAAIAAiICAAQwBvAGwAdQBtAG4AIAAyADoAIABGAHIAZQBxAHUAZQBuAGMAeQAgACgAYwBvAHUAbgB0ACkAXABuACAAIAAgACAAIiAgAEMAbwBsAHUAbQBuACAAMwA6ACAAVwBlAGkAZwBoAHQAZQBkACAAcAByAG8AZAB1AGMAdAAgACgAdgBhAGwAdQBlACAA1wAgAGMAbwB1AG4AdAApAFwAbgBcAG4ATgBvAHQAZQBzADoAXABuAC0AIABTAG8AcgB0AGUAZAAgAGkAbgAgAGEAcwBjAGUAbgBkAGkAbgBnACAAbwByAGQAZQByAFwAbgAtACAASQBuAGMAbAB1AGQAZQBzACAAaABlAGEAZABlAHIAcwAgAGkAZgAgAG0AbwBkAGUAIAA9ACAAXAAiAEwAQgBMAFwAIgBcAG4ALQAgAFUAcwBlAGYAdQBsACAAZgBvAHIAIABtAG8AZABlACAAYQBuAGEAbAB5AHMAaQBzACwAIAB3AGUAaQBnAGgAdABlAGQAIABtAGUAYQBuAHMALAAgAGEAbgBkACAAZABpAHMAdAByAGkAYgB1AHQAaQBvAG4AIABvAHYAZQByAHYAaQBlAHcAXABuAFwAbgAqAC8AXABuAFwAbgBTAFQAQQBUAF8ARgBSAEUAUQBfAFQAQQBCAEwARQAgAD0AIABMAEEATQBCAEQAQQAoAHIAYQBuAGcAZQAsACAAWwBtAG8AZABlAF0ALABcAG4AIAAgACAAIABMAEUAVAAoAFwAbgAgACAAIAAgACAAIAAgACAALwAvACAASABhAG4AZABsAGUAIABsAGEAYgBlAGwAIABtAG8AZABlAFwAbgAgACAAIAAgACAAIAAgACAAbQBvAGQAZQAsACAASQBGACgASQBTAE8ATQBJAFQAVABFAEQAKABtAG8AZABlACkALAAgAFwAIgBcACIALAAgAFUAUABQAEUAUgAoAG0AbwBkAGUAKQApACwAXABuAFwAbgAgACAAIAAgACAAIAAgACAALwAvACAAUAByAGUAcABhAHIAZQAgAHUAbgBpAHEAdQBlACAAdgBhAGwAdQBlAHMAIABpAG4AIABzAG8AcgB0AGUAZAAgAG8AcgBkAGUAcgBcAG4AIAAgACAAIAAgACAAIAAgAHUAXwB2AGEAbABzACwAIABTAE8AUgBUACgAVQBOAEkAUQBVAEUAKAByAGEAbgBnAGUAKQApACwAXABu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FwAbgAgACAAIAAgACAAIAAgACAALwAvACAAVwBlAGkAZwBoAHQAZQBkACAAdgBhAGwAdQBlACAA1wAgAGYAcgBlAHEAdQBlAG4AYwB5AFwAbgAgACAAIAAgACAAIAAgACAAcAByAG8AZAB1AGMAdABzACwAIAB1AF8AdgBhAGwAcwAgACoAIAB3AGUAaQBnAGgAdABzACwAXABuAFwAbgAgACAAIAAgACAAIAAgACAALwAvACAAQQBkAGQAIABjAG8AbAB1AG0AbgAgAGgAZQBhAGQAZQByAHMAIABpAGYAIABcACIATABCAEwAXAAiACAAbQBvAGQAZQBcAG4AIAAgACAAIAAgACAAIAAgAHYAYQBsAHUAZQBzAF8AYwBvAGwALAAgAEkARgAoAG0AbwBkAGUAIAA9ACAAXAAiAEwAQgBMAFwAIgAsACAAVgBTAFQAQQBDAEsAKABcACIAVgBhAGwAdQBlAFwAIgAsACAAdQBfAHYAYQBsAHMAKQAsACAAdQBfAHYAYQBsAHMAKQAsAFwAbgAgACAAIAAgACAAIAAgACAAdwBlAGkAZwBoAHQAcwBfAGMAbwBsACwAIABJAEYAKABtAG8AZABlACAAPQAgAFwAIgBMAEIATABcACIALAAgAFYAUwBUAEEAQwBLACgAXAAiAFcAZQBpAGcAaAB0AFwAIgAsACAAdwBlAGkAZwBoAHQAcwApACwAIAB3AGUAaQBnAGgAdABzACkALABcAG4AIAAgACAAIAAgACAAIAAgAHAAcgBvAGQAdQBjAHQAcwBfAGMAbwBsACwAIABJAEYAKABtAG8AZABlACAAPQAgAFwAIgBMAEIATABcACIALAAgAFYAUwBUAEEAQwBLACgAXAAiAFAAcgBvAGQAdQBjAHQAXAAiACwAIABwAHIAbwBkAHUAYwB0AHMAKQAsACAAcAByAG8AZAB1AGMAdABzACkALABcAG4AXABuACAAIAAgACAAIAAgACAAIAAvAC8AIABGAGkAbgBhAGwAIABvAHUAdABwAHUAdABcAG4AIAAgACAAIAAgACAAIAAgAEgAUwBUAEEAQwBLACgAdgBhAGwAdQBlAHMAXwBjAG8AbAAsACAAdwBlAGkAZwBoAHQAcwBfAGMAbwBsACwAIABwAHIAbwBkAHUAYwB0AHMAXwBjAG8AbAApAFwAbgAgACAAIAAgACkAXABuACkAOwBcAG4AXABuAFwAbgAvACoAIABTAFQAQQBUAF8AVwBUAEQAXwBBAFYARwBcAG4AXABuAFIAZQB0AHUAcgBuAHMAIAB0AGgAZQAgAHcAZQBpAGcAaAB0AGUAZAAgAGEAdgBlAHIAYQBnAGUAIABvAGYAIABhACAAdgBhAGwAdQBlACAAcwBlAHQAIABiAGEAcwBlAGQAIABvAG4AIABhACAAbQBhAHQAYwBoAGkAbgBnACAAdwBlAGkAZwBoAHQAIABzAGUAdAAuAFwAbgBcAG4AQQByAGcAdQBtAGUAbgB0AHMAOgBcAG4ALQAgAHcAdABzACAAIAAgACAAOgAgAGEAcgByAGEAeQAgAG8AZgAgAHcAZQBpAGcAaAB0AHMAXABuAC0AIAB2AGEAbAB1AGUAcwAgADoAIABhAHIAcgBhAHkAIABvAGYAIAB2AGEAbAB1AGUAcwAgACgAcwBhAG0AZQAgAGwAZQBuAGcAdABoACAAYQBzACAAdwBlAGkAZwBoAHQAcwApAFwAbgBcAG4AUgBlAHQAdQByAG4AcwA6AFwAbgAtACAAVwBlAGkAZwBoAHQAZQBkACAAYQB2AGUAcgBhAGcAZQAgAD0AIABTAFUATQBQAFIATwBEAFUAQwBUACgAdwB0AHMALAAgAHYAYQBsAHUAZQBzACkAIAAvACAAUwBVAE0AKAB3AHQAcwApAFwAbgAtACAAUgBlAHQAdQByAG4AcwAgACMATgAvAEEAIABpAGYAIABpAG4AcAB1AHQAIABsAGUAbgBnAHQAaABzACAAbQBpAHMAbQBhAHQAYwBoACAAbwByACAAdwBlAGkAZwBoAHQAIABzAHUAbQAgAGkAcwAgAHoAZQByAG8AXABuAFwAbgAqAC8AXABuAFwAbgBTAFQAQQBUAF8AVwBUAEQAXwBBAFYARwAgAD0AIABMAEEATQBCAEQAQQAoAHcAdABzACwAIAB2AGEAbAB1AGUAcwAsAFwAbgAgACAAIAAgAEwARQBUACgAXABuACAAIAAgACAAIAAgACAAIABsAGUAbgBfAG0AYQB0AGMAaAAsACAAQwBPAFUATgBUAEEAKAB3AHQAcwApACAAPQAgAEMATwBVAE4AVABBACgAdgBhAGwAdQBlAHMAKQAsAFwAbgAgACAAIAAgACAAIAAgACAAdABvAHQAYQBsAF8AdwB0ACwAIABTAFUATQAoAHcAdABzACkALABcAG4AIAAgACAAIAAgACAAIAAgAHIAZQBzAHUAbAB0ACwAIABJAEYAKABcAG4AIAAgACAAIAAgACAAIAAgACAAIAAgACAATgBPAFQAKABsAGUAbgBfAG0AYQB0AGMAaAApACAAKwAgACgAdABvAHQAYQBsAF8AdwB0ACAAPQAgADAAKQAsAFwAbgAgACAAIAAgACAAIAAgACAAIAAgACAAIABOAEEAKAApACwAXABuACAAIAAgACAAIAAgACAAIAAgACAAIAAgAFMAVQBNAFAAUgBPAEQAVQBDAFQAKAB3AHQAcwAsACAAdgBhAGwAdQBlAHMAKQAgAC8AIAB0AG8AdABhAGwAXwB3AHQAXABuACAAIAAgACAAIAAgACAAI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wAbgBTAFQAQQBUAF8AUwBFAEwARgBfAFcAVABEAF8AQQBWAEcAIAA9ACAATABBAE0AQgBEAEEAKAByAGEAbgBnAGUALABcAG4AIAAgACAAIABMAEUAVAAoAFwAbgAgACAAIAAgACAAIAAgACAAcwB1AG0AXwB2AGEAbABzACwAIABTAFUATQAoAHIAYQBuAGcAZQApACwAXABuACAAIAAgACAAIAAgACAAIAByAGUAcwB1AGwAdAAsACAASQBGACgAcwB1AG0AXwB2AGEAbABzACAAPQAgADAALAAgAE4AQQAoACkALAAgAFMAVQBNAFAAUgBPAEQAVQBDAFQAKAByAGEAbgBnAGUALAAgAHIAYQBuAGcAZQApACAALwAgAHMAdQBtAF8AdgBhAGwAcwApACwAXABuACAAIAAgACAAIAAgACAAIAByAGUAcwB1AGwAdABcAG4AIAAgACAAIAApAFwAbgApADsAXABuAFwAbgBcAG4ALwAqACAAUwBUAEEAVABfAFAAQwBUAF8AUgBFAE0AQQBQAFwAbgBcAG4AUgBlAHMAYwBhAGwAZQBzACAAYQAgAHYAYQBsAHUAZQAgAGYAcgBvAG0AIABvAG4AZQAgAG4AdQBtAGUAcgBpAGMAIAByAGEAbgBnAGUAIABpAG4AdABvACAAYQBuAG8AdABoAGUAcgAsACAAcAByAGUAcwBlAHIAdgBpAG4AZwAgAGkAdABzAFwAbgByAGUAbABhAHQAaQB2AGUAIABwAG8AcwBpAHQAaQBvAG4AIAAoAHAAZQByAGMAZQBuAHQAaQBsAGUAKQAgAGIAZQB0AHcAZQBlAG4AIAB0AGgAZQAgAHQAdwBvACAAaQBuAHQAZQByAHYAYQBsAHMALgBcAG4AXABuAEEAcgBnAHUAbQBlAG4AdABzADoAXABuAC0AIABTAHQAYQByAHQATQBpAG4ALAAgAFMAdABhAHIAdABNAGEAeAAgADoAIABvAHIAaQBnAGkAbgBhAGwAIABuAHUAbQBlAHIAaQBjACAAcgBhAG4AZwBlAFwAbgAtACAAVABhAHIAZwBlAHQAIAAgACAAIAAgACAAIAAgACAAIAAgACAAIAA6ACAAdgBhAGwAdQBlACAAdwBpAHQAaABpAG4AIAB0AGgAZQAgAG8AcgBpAGcAaQBuAGEAbAAgAHIAYQBuAGcAZQBcAG4ALQAgAEUAbgBkAE0AaQBuACwAIABFAG4AZABNAGEAeAAgACAAIAAgACAAOgAgAGQAZQBzAHQAaQBuAGEAdABpAG8AbgAgAHIAYQBuAGcAZQBcAG4ALQAgAGQAZQBjAHAAcgBlAGMAIAAoAG8AcAB0AGkAbwBuAGEAbAApACAAOgAgAGQAZQBjAGkAbQBhAGwAIABwAHIAZQBjAGkAcwBpAG8AbgAgACgAZABlAGYAYQB1AGwAdAAgAD0AIAAxADUAKQBcAG4AXABuAFIAZQB0AHUAcgBuAHMAOgBcAG4ALQAgAFQAaABlACAAcABlAHIAYwBlAG4AdABpAGwAZQAtAGUAcQB1AGkAdgBhAGwAZQBuAHQAIAB2AGEAbAB1AGUAIABpAG4AIAB0AGgAZQAgAHMAZQBjAG8AbgBkACAAcgBhAG4AZwBlAFwAbgBcAG4ARQB4AGEAbQBwAGwAZQA6AFwAbgAgACAAIAAgAFMAVABBAFQAXwBQAEMAVABfAFIARQBNAEEAUAAoADMALAAgADEAMQAsACAANQAsACAAMgAsACAAMQA5ACkAXABuACAAIAAgACAAkiEgADYALgAyADUAIAAoAHMAaQBuAGMAZQAgADUAIABpAHMAIAAyADUAJQAgAGIAZQB0AHcAZQBlAG4AIAAzABMgMQAxACwAIABhAG4AZAAgADYALgAyADUAIABpAHMAIAAyADUAJQAgAGIAZQB0AHcAZQBlAG4AIAAyABMgMQA5ACkAXABuAFwAbgAqAC8AXABu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XABuAC8AKgAgAFMAVABBAFQAXwBQAEMAVABfAE8ARgBfAFIAQQBOAEcARQBcAG4AXABuAFIAZQB0AHUAcgBuAHMAIAB0AGgAZQAgAHAAZQByAGMAZQBuAHQAaQBsAGUAIAAoAGEAcwAgAGEAIABkAGUAYwBpAG0AYQBsACAAZgByAGEAYwB0AGkAbwBuACkAIAB0AGgAYQB0ACAAYQAgAHYAYQBsAHUAZQAgAHIAZQBwAHIAZQBzAGUAbgB0AHM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dgBhAGwAdQBlACAAIAAgACAAOgAgAHYAYQBsAHUAZQAgAHQAbwAgAGUAdgBhAGwAdQBhAHQAZQBcAG4ALQAgAGQAZQBjAHAAcgBlAGMAIAAgADoAIABvAHAAdABpAG8AbgBhAGwAIABkAGUAYwBpAG0AYQBsACAAcAByAGUAYwBpAHMAaQBvAG4AIAAoAGQAZQBmAGEAdQBsAHQAIAA9ACAAMQA1ACkAXABuAFwAbgBSAGUAdAB1AHIAbgBzADoAXABuAC0AIABUAGgAZQAgAHAAcgBvAHAAbwByAHQAaQBvAG4AYQBsACAAcABvAHMAaQB0AGkAbwBuACAAbwBmACAAYAB2AGEAbAB1AGUAYAAgAGkAbgAgAHQAaABlACAAcgBhAG4AZwBlACAAWwBtAGkAbgAsACAAbQBhAHgAXQBcAG4AXABuAEUAeABhAG0AcABsAGUAOgBcAG4AIAAgACAAIABTAFQAQQBUAF8AUABDAFQAXwBPAEYAXwBSAEEATgBHAEUAKAAzACwAIAAxADIALAAgADcAKQBcAG4AIAAgACAAIACSISAAMAAuADQANAA0AC4ALgAuACAAKABiAGUAYwBhAHUAcwBlACAANwAgAGkAcwAgADQANAAuADQAJQAgAG8AZgAgAHQAaABlACAAdwBhAHkAIABmAHIAbwBtACAAMwAgAHQAbwAgADEAMgApAFwAbgBcAG4AKgAvAFwAbgBcAG4AUwBUAEEAVABfAFAAQwBUAF8ATwBGAF8AUgBBAE4ARwBFACAAPQAgAEwAQQBNAEIARABBACgAbQBpAG4ALAAgAG0AYQB4ACwAIAB2AGEAbAB1AGUALAAgAFsAZABlAGMAcAByAGUAYwBdACwAXABuACAAIAAgACAATABFAFQAKABcAG4AIAAgACAAIAAgACAAIAAgAGQAZQBjAHAAcgBlAGMALAAgAEkARgAoAEkAUwBPAE0ASQBUAFQARQBEACgAZABlAGMAcAByAGUAYwApACwAIAAxADUALAAgAGQAZQBjAHAAcgBlAGMAKQAsAFwAbgAgACAAIAAgACAAIAAgACAAYwBhAGwAYwAsACAAKAB2AGEAbAB1AGUAIAAtACAAbQBpAG4AKQAgAC8AIAAoAG0AYQB4ACAALQAgAG0AaQBuACkALABcAG4AIAAgACAAIAAgACAAIAAgAFIATwBVAE4ARAAoAGMAYQBsAGMALAAgAGQAZQBjAHAAcgBlAGMAKQBcAG4AIAAgACAAIAApAFwAbgApADsAXABu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cAG4AUwBUAEEAVABfAFYAQQBMAFUARQBfAE8ARgBfAFAAQwBUACAAPQAgAEwAQQBNAEIARABBACgAbQBpAG4ALAAgAG0AYQB4ACwAIABwAGMAdAAsACAAWwBkAGUAYwBwAHIAZQBjAF0ALABcAG4AIAAgACAAIABMAEUAVAAoAFwAbgAgACAAIAAgACAAIAAgACAAZABlAGMAcAByAGUAYwAsACAASQBGACgASQBTAE8ATQBJAFQAVABFAEQAKABkAGUAYwBwAHIAZQBjACkALAAgADEANQAsACAAZABlAGMAcAByAGUAYwApACwAXABuACAAIAAgACAAIAAgACAAIABjAGEAbABjACwAIABwAGMAdAAgACoAIAAoAG0AYQB4ACAALQAgAG0AaQBuACkAIAArACAAbQBpAG4ALABcAG4AIAAgACAAIAAgACAAIAAgAFIATwBVAE4ARAAoAGMAYQBsAGMALAAgAGQAZQBjAHAAcgBlAGMAKQBcAG4AIAAgACAAIAApAFwAbgApADsAXABuAFwAbgBcAG4ALwAqACAAUwBUAEEAVABfAEIARQBOAEYATwBSAEQAXwBUAEEAQgBMAEUAXABuAFwAbgBSAGUAdAB1AHIAbgBzACAAdABoAGUAIAB0AGgAZQBvAHIAZQB0AGkAYwBhAGwAIABCAGUAbgBmAG8AcgBkACAAZABpAHMAdAByAGkAYgB1AHQAaQBvAG4AIABwAHIAbwBiAGEAYgBpAGwAaQB0AGkAZQBzACAAZgBvAHIAIABsAGUAYQBkAGkAbgBnACAAZABpAGcAaQB0AHMAIAAxACAAdABoAHIAbwB1AGcAaAAgADkALgBcAG4AXABuAEEAcgBnAHUAbQBlAG4AdABzADoAXABuAC0AIABtAG8AZABlACAAKABvAHAAdABpAG8AbgBhAGwAKQA6ACAAXABuACAAIAAgACAALQAgAFwAIgBMAEIATABcACIAIACSISAAcgBlAHQAdQByAG4AcwAgAGEAIAAyAC0AYwBvAGwAdQBtAG4AIABhAHIAcgBhAHkAOgAgAEQAaQBnAGkAdAAgAHwAIABQAHIAbwBiAGEAYgBpAGwAaQB0AHkAXABuACAAIAAgACAALQAgAGIAbABhAG4AawAvAG8AbQBpAHQAdABlAGQAIACSISAAcgBlAHQAdQByAG4AcwAgAHIAYQB3ACAAcAByAG8AYgBhAGIAaQBsAGkAdABpAGUAcwAgAG8AbgBsAHkAIAAoADEALQBjAG8AbAB1AG0AbgApAFwAbgBcAG4AUgBlAHQAdQByAG4AcwA6AFwAbgAtACAAQQAgAHYAZQByAHQAaQBjAGEAbAAgAGwAaQBzAHQAIABvAGYAIAA5ACAAQgBlAG4AZgBvAHIAZAAgAHAAcgBvAGIAYQBiAGkAbABpAHQAaQBlAHMAIAAoAGwAbwBnAC0AYgBhAHMAZQBkACAAZABpAHMAdAByAGkAYgB1AHQAaQBvAG4AKQBcAG4ALQAgAE8AcAB0AGkAbwBuAGEAbABsAHkAIABsAGEAYgBlAGwAZQBkACAAdwBpAHQAaAAgAGQAaQBnAGkAdABzACAAMQAgAHQAaAByAG8AdQBnAGgAIAA5AFwAbgBcAG4ARgBvAHIAbQB1AGwAYQA6AFwAbgAtACAAUAAoAGQAKQAgAD0AIABMAE8ARwAxADAAKAAxACAAKwAgADEALwBkACkALAAgAGYAbwByACAAZAAgAGkAbgAgAHsAMQAsACAAMgAsACAALgAuAC4ALAAgADkAfQBcAG4AXABuAEMAbwBtAG0AbwBuAGwAeQAgAHUAcwBlAGQAIABmAG8AcgA6AFwAbgAtACAARABlAHQAZQBjAHQAaQBuAGcAIAB1AG4AbgBhAHQAdQByAGEAbAAgAHAAYQB0AHQAZQByAG4AcwAgAGkAbgAgAGQAYQB0AGEAcwBlAHQAcwBcAG4ALQAgAEYAcgBhAHUAZAAgAGQAZQB0AGUAYwB0AGkAbwBuACAAYQBuAGQAIABmAG8AcgBlAG4AcwBpAGMAIABhAGMAYwBvAHUAbgB0AGkAbgBnAFwAbgAtACAATQBvAGQAZQBsAGkAbgBnACAAZABpAHMAdAByAGkAYgB1AHQAaQBvAG4AcwAgAG8AZgAgAG4AYQB0AHUAcgBhAGwAbAB5ACAAbwBjAGMAdQByAHIAaQBuAGcAIABuAHUAbQBlAHIAaQBjAGEAbAAgAGQAYQB0AGEAXABuAFwAbgAqAC8AXABuAFwAbgBTAFQAQQBUAF8AQgBFAE4ARgBPAFIARABfAFQAQQBCAEwARQAgAD0AIABMAEEATQBCAEQAQQAoAFsAbQBvAGQAZQBdACwAXABuACAAIAAgACAATABFAFQAKABcAG4AIAAgACAAIAAgACAAIAAgAG0AbwBkAGUALAAgAEkARgAoAEkAUwBPAE0ASQBUAFQARQBEACgAbQBvAGQAZQApACwAIABcACIAXAAiACwAIABVAFAAUABFAFIAKABtAG8AZABlACkAKQAsAFwAbgBcAG4AIAAgACAAIAAgACAAIAAgAC8ALwAgAEQAaQBnAGkAdABzACAAMQAgAHQAaAByAG8AdQBnAGgAIAA5AFwAbgAgACAAIAAgACAAIAAgACAAZABpAGcAaQB0AHMALAAgAFMARQBRAFUARQBOAEMARQAoADkALAAgACwAIAAxACwAIAAxACkALABcAG4AXABuACAAIAAgACAAIAAgACAAIAAvAC8AIABCAGUAbgBmAG8AcgBkACAAcAByAG8AYgBhAGIAaQBsAGkAdABpAGUAcwBcAG4AIAAgACAAIAAgACAAIAAgAHAAcgBvAGIAcwAsACAAQgBZAFIATwBXACgAZABpAGcAaQB0AHMALAAgAEwAQQBNAEIARABBACgAZAAsACAATABPAEcAMQAwACgAMQAgACsAIAAoADEAIAAvACAAZAApACkAKQApACwAXABuAFwAbgAgACAAIAAgACAAIAAgACAALwAvACAATwBwAHQAaQBvAG4AYQBsACAAbABhAGIAZQBsAGUAZAAgAG8AdQB0AHAAdQB0AFwAbgAgACAAIAAgACAAIAAgACAAcgBlAHMAdQBsAHQALAAgAEkARgAoAFwAbgAgACAAIAAgACAAIAAgACAAIAAgACAAIABtAG8AZABlACAAPQAgAFwAIgBMAEIATABcACIALABcAG4AIAAgACAAIAAgACAAIAAgACAAIAAgACAASABTAFQAQQBDAEsAKABkAGkAZwBpAHQAcwAsACAAcAByAG8AYgBzACkALABcAG4AIAAgACAAIAAgACAAIAAgACAAIAAgACAAcAByAG8AYgBzAFwAbgAgACAAIAAgACAAIAAgACAAKQAsAFwAbgBcAG4AIAAgACAAIAAgACAAIAAgAHIAZQBzAHUAbAB0AFwAbgAgACAAIAAgACkAXABuACkAOwBcAG4AXABuAC8AKgAgAFMAVABBAFQAXwBSAE4ARABfAEIARQBOAEYATwBSAEQAXABuAFwAbgBHAGUAbgBlAHIAYQB0AGUAcwAgAG8AbgBlACAAbwByACAAbQBvAHIAZQAgAHIAYQBuAGQAbwBtACAAZABpAGcAaQB0AHMAIABiAGEAcwBlAGQAIABvAG4AIAB0AGgAZQAgAEIAZQBuAGYAbwByAGQAIABkAGkAcwB0AHIAaQBiAHUAdABpAG8AbgAuAFwAbgBcAG4AQQByAGcAdQBtAGUAbgB0AHMAOgBcAG4ALQAgAGQAaQBnAGkAdABzACAAKABvAHAAdABpAG8AbgBhAGwAKQA6ACAAbgB1AG0AYgBlAHIAIABvAGYAIABkAGkAZwBpAHQAcwAgAHQAbwAgAHIAZQB0AHUAcgBuACAAKABkAGUAZgBhAHUAbAB0ACAAPQAgADEAKQBcAG4AXABuAFIAZQB0AHUAcgBuAHMAOgBcAG4ALQAgAEEAIABzAGkAbgBnAGwAZQAtAGQAaQBnAGkAdAAgAG4AdQBtAGIAZQByACAAaQBmACAAZABpAGcAaQB0AHMAIAA9ACAAMQBcAG4ALQAgAEEAIABtAHUAbAB0AGkALQBkAGkAZwBpAHQAIABuAHUAbQBiAGUAcgAgAGMAbwBtAHAAbwBzAGUAZAAgAG8AZgAgAEIAZQBuAGYAbwByAGQALQBkAGkAcwB0AHIAaQBiAHUAdABlAGQAIABkAGkAZwBpAHQAcwAgAG8AdABoAGUAcgB3AGkAcwBlAFwAbgBcAG4ARABpAHMAdAByAGkAYgB1AHQAaQBvAG4AOgBcAG4ALQAgAEIAYQBzAGUAZAAgAG8AbgAgAGwAZQBhAGQAaQBuAGcAIABkAGkAZwBpAHQAIABwAHIAbwBiAGEAYgBpAGwAaQB0AGkAZQBzADoAXABuACAAIAAgACAAUAAoAGQAKQAgAD0AIABMAE8ARwAxADAAKAAxACAAKwAgADEALwBkACkAIABmAG8AcgAgAGQAIAAIIiAAewAxAC4ALgA5AH0AXABuAFwAbgAqAC8AXABuAFwAbgBTAFQAQQBUAF8AUgBOAEQAXwBCAEUATgBGAE8AUgBEACAAPQAgAEwAQQBNAEIARABBACgAWwBkAGkAZwBpAHQAcwBdACwAXABuACAAIAAgACAATABFAFQAKABcAG4AIAAgACAAIAAgACAAIAAgAGQAaQBnAGkAdABzACwAIABJAEYAKABJAFMATwBNAEkAVABUAEUARAAoAGQAaQBnAGkAdABzACkALAAgADEALAAgAGQAaQBnAGkAdABzACkALABcAG4AXABuACAAIAAgACAAIAAgACAAIAAvAC8AIABEAGkAZwBpAHQAIAByAGEAbgBnAGUAIAAxABMgOQBcAG4AIAAgACAAIAAgACAAIAAgAG4AdQBtAGwAaQBzAHQALAAgAFMARQBRAFUARQBOAEMARQAoADkALAAgACwAIAAxACwAIAAxACkALABcAG4AXABuACAAIAAgACAAIAAgACAAIAAvAC8AIABDAHUAbQB1AGwAYQB0AGkAdgBlACAAQgBlAG4AZgBvAHIAZAAgAHAAcgBvAGIAYQBiAGkAbABpAHQAaQBlAHMAXABuACAAIAAgACAAIAAgACAAIABwAHIAbwBiAGwAaQBzAHQALAAgAHsAMAAuADMAMAAxACwAIAAwAC4ANAA3ADcALAAgADAALgA2ADAAMgAsACAAMAAuADYAOQA5ACwAIAAwAC4ANwA3ADgALAAgADAALgA4ADQANQAsACAAMAAuADkAMAAzACwAIAAwAC4AOQA1ADQALAAgADEAfQAsAFwAbgBcAG4AIAAgACAAIAAgACAAIAAgAC8ALwAgAEcAZQBuAGUAcgBhAHQAZQAgAHIAYQBuAGQAbwBtACAAYQByAHIAYQB5ACAAbwBmACAAcABlAHIAYwBlAG4AdABpAGwAZQBzAFwAbgAgACAAIAAgACAAIAAgACAAcgBhAG4AZABfAG4AdQBtAHMALAAgAFIAQQBOAEQAQQBSAFIAQQBZACgAZABpAGcAaQB0AHMALAAgADEAKQAsAFwAbgBcAG4AIAAgACAAIAAgACAAIAAgAC8ALwAgAE0AYQB0AGMAaAAgAHQAbwAgAGQAaQBnAGkAdAAgAHYAaQBhACAAcABlAHIAYwBlAG4AdABpAGwAZQAgAG0AYQBwAHAAaQBuAGcAXABuACAAIAAgACAAIAAgACAAIABpAG4AZABpAGMAZQBzACwAIABNAEEAVABDAEgAKABYAEwATwBPAEsAVQBQACgAcgBhAG4AZABfAG4AdQBtAHMALAAgAHAAcgBvAGIAbABpAHMAdAAsACAAcAByAG8AYgBsAGkAcwB0ACwAIAAsACAAMQApACwAIABwAHIAbwBiAGwAaQBzAHQALAAgADEAKQAsAFwAbgAgACAAIAAgACAAIAAgACAAZABpAGcAaQB0AHMAXwBnAGUAbgBlAHIAYQB0AGUAZAAsACAASQBOAEQARQBYACgAbgB1AG0AbABpAHMAdAAsACAAaQBuAGQAaQBjAGUAcwApACwAXABuAFwAbgAgACAAIAAgACAAIAAgACAALwAvACAATwB1AHQAcAB1AHQAIABhAHMAIABuAHUAbQBlAHIAaQBjACAAdgBhAGwAdQBlAFwAbgAgACAAIAAgACAAIAAgACAAbwB1AHQAcAB1AHQALAAgAEkARgAoAFwAbgAgACAAIAAgACAAIAAgACAAIAAgACAAIABkAGkAZwBpAHQAcwAgAD0AIAAxACwAXABuACAAIAAgACAAIAAgACAAIAAgACAAIAAgAFYAQQBMAFUARQAoAGQAaQBnAGkAdABzAF8AZwBlAG4AZQByAGEAdABlAGQAKQAsAFwAbgAgACAAIAAgACAAIAAgACAAIAAgACAAIABWAEEATABVAEUAKABUAEUAWABUAEoATwBJAE4AKABcACIAXAAiACwAIABUAFIAVQBFACwAIABkAGkAZwBpAHQAcwBfAGcAZQBuAGUAcgBhAHQAZQBkACkAKQBcAG4AIAAgACAAIAAgACAAIAAgACkALABcAG4AXABuACAAIAAgACAAIAAgACAAIABvAHUAdABwAHUAdABcAG4AIAAgACAAIAApAFwAbgApADsAXABuAFwAbgAvACoAIABTAFQAQQBUAF8AVgBBAEwAXwBCAFIAQQBDAEsARQBUAFwAbgBcAG4AUgBlAHQAdQByAG4AcwAgAHQAaABlACAAdgBhAGwAdQBlAHMAIABpAG4AIABhACAAZABhAHQAYQBzAGUAdAAgAHQAaABhAHQAIABiAHIAYQBjAGsAZQB0ACAAYQAgAHMAcABlAGMAaQBmAGkAZQBkACAAdABhAHIAZwBlAHQAIAB2AGEAbAB1AGUALgBcAG4AXABuAEEAcgBnAHUAbQBlAG4AdABzADoAXABuAC0AIABUAGUAcwB0AEEAcgByAGEAeQAgADoAIABhAHIAcgBhAHkAIABvAGYAIABuAHUAbQBlAHIAaQBjACAAdgBhAGwAdQBlAHMAXABuAC0AIABUAGEAcgBnAGUAdAAgACAAIAAgADoAIAB0AGgAZQAgAHYAYQBsAHUAZQAgAHQAbwAgAGYAaQBuAGQAIABiAHIAYQBjAGsAZQB0AGkAbgBnACAAYgBvAHUAbgBkAHMAIABmAG8AcgBcAG4ALQAgAGkAbgBjAGwAIAAgACAAIAAgACAAOgAgAG8AcAB0AGkAbwBuAGEAbAAsACAAXAAiAEkATgBDAFwAIgAgACgAZABlAGYAYQB1AGwAdAApACAAaQBuAGMAbAB1AGQAZQBzACAAdABhAHIAZwBlAHQAIABpAG4AIAByAGUAcwB1AGwAdAAsACAAXAAiAEUAWABDAFwAIgAgAGUAeABjAGwAdQBkAGUAcwAgAGkAdABcAG4ALQAgAG0AbwBkAGUAIAAgACAAIAAgACAAOgAgAG8AcAB0AGkAbwBuAGEAbAAgAGwAYQB5AG8AdQB0ADoAXABuACAAIAAgACAAXAAiAFYARQBSAFwAIgAgAD0AIAB2AGUAcgB0AGkAYwBhAGwAIABhAHIAcgBhAHkAIAAoAGQAZQBmAGEAdQBsAHQAKQBcAG4AIAAgACAAIABcACIASABPAFIAXAAiACAAPQAgAGgAbwByAGkAegBvAG4AdABhAGwAIABhAHIAcgBhAHkAXABuACAAIAAgACAAXAAiAFMAVABSAFwAIgAgAD0AIABzAHQAcgBpAG4AZwAgAGYAbwByAG0AYQB0ACAAXAAiACgAbABvAHcAZQByACAAOgAgAFsAdABhAHIAZwBlAHQAXQAgADoAIAB1AHAAcABlAHIAKQBcACIAXABuAC0AIABsAGIAbAAgACAAIAAgACAAIAAgADoAIABvAHAAdABpAG8AbgBhAGwAIABrAGUAeQB3AG8AcgBkACAAXAAiAEwAQgBMAFwAIgAgAHQAbwAgAGkAbgBjAGwAdQBkAGUAIABsAGEAYgBlAGwAcwAgAGkAbgAgAG8AdQB0AHAAdQB0ACAAKABpAGcAbgBvAHIAZQBkACAAaQBuACAAXAAiAFMAVABSAFwAIgAgAG0AbwBkAGUAKQBcAG4ALQAgAHAAcgBlAGMAIAAgACAAIAAgACAAOgAgAG8AcAB0AGkAbwBuAGEAbAAgAGQAZQBjAGkAbQBhAGwAIABwAHIAZQBjAGkAcwBpAG8AbgAgAHQAbwAgAHIAbwB1AG4AZAAgAHQAbwAgACgAZABlAGYAYQB1AGwAdAAgAD0AIAAzACkAXABuAFwAbgBSAGUAdAB1AHIAbgBzADoAXABuAC0AIABUAGgAZQAgAHYAYQBsAHUAZQBzACAAaQBtAG0AZQBkAGkAYQB0AGUAbAB5ACAAYQBiAG8AdgBlACAAYQBuAGQAIABiAGUAbABvAHcAIAB0AGgAZQAgAHQAYQByAGcAZQB0ACAAKABvAHIAIABhAGwAcwBvACAAdABoAGUAIAB0AGEAcgBnAGUAdAAsACAAaQBmACAAXAAiAEkATgBDAFwAIgApAFwAbgAtACAATwB1AHQAcAB1AHQAIABhAHMAIABhAHIAcgBhAHkAIAAoAHYAZQByAHQAaQBjAGEAbAAgAG8AcgAgAGgAbwByAGkAegBvAG4AdABhAGwAKQAsACAAcwB0AHIAaQBuAGcALAAgAG8AcgAgAGwAYQBiAGUAbABlAGQAIABhAHIAcgBhAHkAXABuAFwAbgAqAC8AXABu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BcAG4AIAAgACAAIAAgACAAIAAgAC8ALwAgAEMAbwBtAHAAdQB0AGUAIABiAG8AdQBuAGQAaQBuAGcAIAB2AGEAbAB1AGUAcwBcAG4AIAAgACAAIAAgACAAIAAgAGwAbwB3AGUAcgAsACAATQBBAFgAKABGAEkATABUAEUAUgAoAFQAZQBzAHQAQQByAHIAYQB5ACwAIABUAGUAcwB0AEEAcgByAGEAeQAgADwAIABUAGEAcgBnAGUAdAApACkALABcAG4AIAAgACAAIAAgACAAIAAgAHUAcABwAGUAcgAsACAATQBJAE4AKABGAEkATABUAEUAUgAoAFQAZQBzAHQAQQByAHIAYQB5ACwAIABUAGUAcwB0AEEAcgByAGEAeQAgAD4AIABUAGEAcgBnAGUAdAApACkALABcAG4AXABuACAAIAAgACAAIAAgACAAIAAvAC8AIABCAHUAaQBsAGQAIAB2AGEAbAB1AGUAIABsAGkAcwB0ACAAYgBhAHMAZQBkACAAbwBuACAAaQBuAGMAbAB1AHMAaQBvAG4AXABuACAAIAAgACAAIAAgACAAIAB2AGEAbABfAGEAcgByAGEAeQAsACAASQBGACgAaQBuAGMAbAAgAD0AIABcACIASQBOAEMAXAAiACwAIABWAFMAVABBAEMASwAoAGwAbwB3AGUAcgAsACAAVABhAHIAZwBlAHQALAAgAHUAcABwAGUAcgApACwAIABWAFMAVABBAEMASwAoAGwAbwB3AGUAcgAsACAAdQBwAHAAZQByACkAKQAsAFwAbgAgACAAIAAgACAAIAAgACAAdgBhAGwAXwBhAHIAcgBhAHkAXwByACwAIABSAE8AVQBOAEQAKAB2AGEAbABfAGEAcgByAGEAeQAsACAAcAByAGUAYwApACwAXABuAFwAbgAgACAAIAAgACAAIAAgACAALwAvACAAQwBvAHIAcgBlAHMAcABvAG4AZABpAG4AZwAgAGwAYQBiAGUAbAAgAGwAaQBzAHQAXABuACAAIAAgACAAIAAgACAAIABsAGIAbABfAGEAcgByAGEAeQAsACAASQBGACgAaQBuAGMAbAAgAD0AIABcACIASQBOAEMAXAAiACwAXABuACAAIAAgACAAIAAgACAAIAAgACAAIAAgAHsAXAAiAEwAbwB3AGUAcgBcACIAOwAgAFwAIgBUAGEAcgBnAGUAdABcACIAOwAgAFwAIgBVAHAAcABlAHIAXAAiAH0ALABcAG4AIAAgACAAIAAgACAAIAAgACAAIAAgACAAewBcACIATABvAHcAZQByAFwAIgA7ACAAXAAiAFUAcABwAGUAcgBcACIAfQBcAG4AIAAgACAAIAAgACAAIAAgACkALABcAG4AXABuACAAIAAgACAAIAAgACAAIAAvAC8AIABPAHUAdABwAHUAdAAgAHMAZQBsAGUAYwB0AG8AcgBcAG4AIAAgACAAIAAgACAAIAAgAG8AdQB0AHAAdQB0ACwAIABTAFcASQBUAEMASAAoAFwAbgAgACAAIAAgACAAIAAgACAAIAAgACAAIABtAG8AZABlACwAXABuACAAIAAgACAAIAAgACAAIAAgACAAIAAgAFwAIgBTAFQAUgBcACIALAAgAFwAIgAoAFwAIgAgACYAIABUAEUAWABUAEoATwBJAE4AKABcACIAIAA6ACAAXAAiACwAIAAsACAARgBJAFgARQBEACgAdgBhAGwAXwBhAHIAcgBhAHkAXwByACwAIABwAHIAZQBjACkAKQAgACYAIABcACIAKQBcACIALABcAG4AIAAgACAAIAAgACAAIAAgACAAIAAgACAAXAAiAEgATwBSAFwAIgAsACAASQBGACgAbABiAGwAXwB2AGEAbAAsAFwAbgAgACAAIAAgACAAIAAgACAAIAAgACAAIAAgACAAIAAgAFYAUwBUAEEAQwBLACgAVABSAEEATgBTAFAATwBTAEUAKABsAGIAbABfAGEAcgByAGEAeQApACwAIABUAFIAQQBOAFMAUABPAFMARQAoAHYAYQBsAF8AYQByAHIAYQB5AF8AcgApACkALABcAG4AIAAgACAAIAAgACAAIAAgACAAIAAgACAAIAAgACAAIABUAFIAQQBOAFMAUABPAFMARQAoAHYAYQBsAF8AYQByAHIAYQB5AF8AcgApAFwAbgAgACAAIAAgACAAIAAgACAAIAAgACAAIAApACwAXABuACAAIAAgACAAIAAgACAAIAAgACAAIAAgAFwAIgBWAEUAUgBcACIALAAgAEkARgAoAGwAYgBsAF8AdgBhAGwALABcAG4AIAAgACAAIAAgACAAIAAgACAAIAAgACAAIAAgACAAIABIAFMAVABBAEMASwAoAGwAYgBsAF8AYQByAHIAYQB5ACwAIAB2AGEAbABfAGEAcgByAGEAeQBfAHIAKQAsAFwAbgAgACAAIAAgACAAIAAgACAAIAAgACAAIAAgACAAIAAgAHYAYQBsAF8AYQByAHIAYQB5AF8AcgBcAG4AIAAgACAAIAAgACAAIAAgACAAIAAgACAAKQAsAFwAbgAgACAAIAAgACAAIAAgACAAIAAgACAAIAB2AGEAbABfAGEAcgByAGEAeQBfAHIAIAAgAC8ALwAgAGYAYQBsAGwAYgBhAGMAawAgAGQAZQBmAGEAdQBsAHQAXABuACAAIAAgACAAIAAgACAAIAApACwAXABuAFwAbgAgACAAIAAgACAAIAAgACAAbwB1AHQAcAB1AHQAXABuACAAIAAgACAAKQBcAG4AKQA7AFwAbgBcAG4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WQBNAEQ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Stele-Rosetta system</vt:lpstr>
      <vt:lpstr>Stele</vt:lpstr>
      <vt:lpstr>Hororology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2025-09-12T02:20:40Z</dcterms:modified>
</cp:coreProperties>
</file>