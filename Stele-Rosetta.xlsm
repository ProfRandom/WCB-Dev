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C409E64C-66C3-1A47-A4A1-63718115852E}" xr6:coauthVersionLast="47" xr6:coauthVersionMax="47" xr10:uidLastSave="{00000000-0000-0000-0000-000000000000}"/>
  <bookViews>
    <workbookView xWindow="1120" yWindow="2100" windowWidth="33400" windowHeight="17660" tabRatio="833" activeTab="4" xr2:uid="{1F53B416-A8EA-154F-927D-A8DD520A3B1E}"/>
  </bookViews>
  <sheets>
    <sheet name="Stele-Rosetta system" sheetId="39" r:id="rId1"/>
    <sheet name="Stele" sheetId="41" r:id="rId2"/>
    <sheet name="Sheet1" sheetId="43" r:id="rId3"/>
    <sheet name="Hororology" sheetId="40" r:id="rId4"/>
    <sheet name="Sheet1 (2)" sheetId="44" r:id="rId5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4" l="1"/>
  <c r="H34" i="44"/>
  <c r="H33" i="44"/>
  <c r="H32" i="44"/>
  <c r="D31" i="44"/>
  <c r="H31" i="44" s="1"/>
  <c r="H30" i="44"/>
  <c r="H29" i="44"/>
  <c r="H28" i="44"/>
  <c r="H27" i="44"/>
  <c r="C17" i="44"/>
  <c r="C16" i="44"/>
  <c r="C12" i="44"/>
  <c r="C9" i="44"/>
  <c r="C8" i="44"/>
  <c r="C10" i="44" s="1"/>
  <c r="D7" i="44"/>
  <c r="G25" i="44" s="1" a="1"/>
  <c r="I28" i="44" s="1" a="1"/>
  <c r="I28" i="44" s="1"/>
  <c r="D6" i="44"/>
  <c r="C25" i="44" s="1" a="1"/>
  <c r="C2" i="44"/>
  <c r="C11" i="44" s="1"/>
  <c r="C14" i="44" s="1" a="1"/>
  <c r="C14" i="44" s="1"/>
  <c r="C15" i="44" s="1"/>
  <c r="C2" i="43"/>
  <c r="C59" i="41"/>
  <c r="E30" i="44" l="1" a="1"/>
  <c r="E30" i="44" s="1"/>
  <c r="E35" i="44" a="1"/>
  <c r="E35" i="44" s="1"/>
  <c r="I34" i="44" a="1"/>
  <c r="I34" i="44" s="1"/>
  <c r="C19" i="44"/>
  <c r="C18" i="44"/>
  <c r="C20" i="44" s="1"/>
  <c r="E20" i="44" s="1"/>
  <c r="C21" i="44"/>
  <c r="E21" i="44" s="1"/>
  <c r="E32" i="44" a="1"/>
  <c r="E32" i="44" s="1"/>
  <c r="I30" i="44" a="1"/>
  <c r="I30" i="44" s="1"/>
  <c r="G25" i="44"/>
  <c r="I32" i="44" a="1"/>
  <c r="I32" i="44" s="1"/>
  <c r="E29" i="44" a="1"/>
  <c r="E29" i="44" s="1"/>
  <c r="I27" i="44" a="1"/>
  <c r="I27" i="44" s="1"/>
  <c r="I29" i="44" a="1"/>
  <c r="I29" i="44" s="1"/>
  <c r="E34" i="44" a="1"/>
  <c r="E34" i="44" s="1"/>
  <c r="E27" i="44" a="1"/>
  <c r="E27" i="44" s="1"/>
  <c r="E33" i="44" a="1"/>
  <c r="E33" i="44" s="1"/>
  <c r="I31" i="44" a="1"/>
  <c r="I31" i="44" s="1"/>
  <c r="I33" i="44" a="1"/>
  <c r="I33" i="44" s="1"/>
  <c r="I35" i="44" a="1"/>
  <c r="I35" i="44" s="1"/>
  <c r="C25" i="44"/>
  <c r="E31" i="44" a="1"/>
  <c r="E31" i="44" s="1"/>
  <c r="E28" i="44" a="1"/>
  <c r="E28" i="44" s="1"/>
  <c r="H28" i="43"/>
  <c r="H29" i="43"/>
  <c r="H30" i="43"/>
  <c r="H31" i="43"/>
  <c r="H32" i="43"/>
  <c r="H33" i="43"/>
  <c r="H34" i="43"/>
  <c r="H35" i="43"/>
  <c r="H27" i="43"/>
  <c r="E31" i="43" a="1"/>
  <c r="E31" i="43" s="1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I11" i="39" l="1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1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I12" i="44" l="1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E20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E78" i="41" l="1"/>
  <c r="H78" i="41"/>
  <c r="R109" i="41"/>
  <c r="G3" i="44" a="1"/>
  <c r="G3" i="44" s="1"/>
  <c r="I4" i="44"/>
  <c r="J4" i="44" s="1"/>
  <c r="L4" i="44" s="1" a="1"/>
  <c r="L4" i="44" s="1"/>
  <c r="K4" i="44" s="1" a="1"/>
  <c r="K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I4" i="43" l="1"/>
  <c r="J4" i="43" s="1"/>
  <c r="L4" i="43" s="1" a="1"/>
  <c r="L4" i="43" s="1"/>
  <c r="K4" i="43" s="1" a="1"/>
  <c r="K4" i="43" s="1"/>
  <c r="G3" i="43" a="1"/>
  <c r="G3" i="43" s="1"/>
  <c r="W73" i="41"/>
  <c r="P89" i="41"/>
  <c r="Q97" i="41"/>
  <c r="P98" i="41" s="1"/>
  <c r="P86" i="41"/>
  <c r="P87" i="41"/>
  <c r="P85" i="41"/>
  <c r="Q85" i="41" s="1"/>
  <c r="R85" i="41" s="1"/>
  <c r="S85" i="41" s="1"/>
  <c r="P88" i="41"/>
  <c r="N60" i="41" a="1"/>
  <c r="T61" i="41"/>
  <c r="W61" i="41" s="1"/>
  <c r="R97" i="41" l="1"/>
  <c r="O97" i="41"/>
  <c r="Q87" i="41"/>
  <c r="R87" i="41" s="1"/>
  <c r="S87" i="41" s="1"/>
  <c r="U87" i="41" s="1"/>
  <c r="Q86" i="41"/>
  <c r="R86" i="41" s="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T89" i="41" l="1"/>
  <c r="T88" i="41"/>
  <c r="T86" i="41"/>
  <c r="T87" i="41"/>
  <c r="P103" i="41" s="1" a="1"/>
  <c r="P105" i="41" a="1"/>
  <c r="Q104" i="41"/>
  <c r="P101" i="41" a="1"/>
  <c r="Q100" i="41"/>
  <c r="R100" i="41" s="1"/>
  <c r="Q106" i="41"/>
  <c r="P107" i="41" a="1"/>
  <c r="Q98" i="41"/>
  <c r="P99" i="41" a="1"/>
  <c r="P99" i="41" s="1"/>
  <c r="O99" i="41" s="1"/>
  <c r="S61" i="41"/>
  <c r="Q102" i="41" l="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R104" i="41" l="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<sst xmlns="http://schemas.openxmlformats.org/spreadsheetml/2006/main" count="422" uniqueCount="188">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</sst>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67" formatCode="0.0000000"/>
  </numFmts>
  <fonts count="7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A43" zoomScale="140" zoomScaleNormal="140" workbookViewId="0">
      <selection activeCell="C60" sqref="C60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P85*SQRT($O$80/333000)</f>
        <v>3.2482601833578556E-3</v>
      </c>
      <c r="R85" s="20">
        <f>Q85*SQRT($O$82/333000)</f>
        <v>3.9802806386163474E-5</v>
      </c>
      <c r="S85" s="8">
        <f>AVERAGE(Q85:R85)</f>
        <v>1.6440314948720095E-3</v>
      </c>
      <c r="T85" s="12">
        <f>P85-(S85/2)</f>
        <v>0.83745570372939793</v>
      </c>
      <c r="U85" s="12">
        <f>P85+(S85/2)</f>
        <v>0.83909973522426995</v>
      </c>
      <c r="V85" s="12"/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 t="shared" ref="R86:R89" si="16">Q86*SQRT($O$82/333000)</f>
        <v>4.7148154740179854E-5</v>
      </c>
      <c r="S86" s="8">
        <f t="shared" ref="S86:S89" si="17">AVERAGE(Q86:R86)</f>
        <v>1.9474267860896443E-3</v>
      </c>
      <c r="T86" s="12">
        <f t="shared" ref="T86:T89" si="18">P86-(S86/2)</f>
        <v>0.99200269258415252</v>
      </c>
      <c r="U86" s="12">
        <f t="shared" ref="U86:U89" si="19">P86+(S86/2)</f>
        <v>0.99395011937024225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si="16"/>
        <v>5.9864444859771546E-5</v>
      </c>
      <c r="S87" s="8">
        <f t="shared" si="17"/>
        <v>2.472665666275891E-3</v>
      </c>
      <c r="T87" s="12">
        <f t="shared" si="18"/>
        <v>1.2595549246456548</v>
      </c>
      <c r="U87" s="12">
        <f t="shared" si="19"/>
        <v>1.2620275903119307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6"/>
        <v>7.1063633840637793E-5</v>
      </c>
      <c r="S88" s="8">
        <f t="shared" si="17"/>
        <v>2.9352415767013459E-3</v>
      </c>
      <c r="T88" s="12">
        <f t="shared" si="18"/>
        <v>1.4951871712309155</v>
      </c>
      <c r="U88" s="12">
        <f t="shared" si="19"/>
        <v>1.4981224128076167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6"/>
        <v>9.3113872812824593E-5</v>
      </c>
      <c r="S89" s="8">
        <f t="shared" si="17"/>
        <v>3.8460137214597423E-3</v>
      </c>
      <c r="T89" s="12">
        <f t="shared" si="18"/>
        <v>1.9591267793253189</v>
      </c>
      <c r="U89" s="12">
        <f t="shared" si="19"/>
        <v>1.9629727930467786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0.93070085824413407</v>
      </c>
      <c r="P98" s="12">
        <f>Q97</f>
        <v>1.0239460127588702</v>
      </c>
      <c r="Q98" s="12">
        <f>T85</f>
        <v>0.83745570372939793</v>
      </c>
      <c r="R98" s="12">
        <f t="shared" ref="R98:R109" si="21">Q98-P98</f>
        <v>-0.18649030902947228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0.83745570372939793</v>
      </c>
      <c r="Q99" s="12">
        <v>0.83909973522426995</v>
      </c>
      <c r="R99" s="12">
        <f t="shared" si="21"/>
        <v>1.6440314948720225E-3</v>
      </c>
    </row>
    <row r="100" spans="14:18">
      <c r="N100" s="8" t="s">
        <v>146</v>
      </c>
      <c r="O100" s="21">
        <f t="shared" si="20"/>
        <v>0.91555121390421124</v>
      </c>
      <c r="P100" s="12">
        <f>U85</f>
        <v>0.83909973522426995</v>
      </c>
      <c r="Q100" s="12">
        <f>T86</f>
        <v>0.99200269258415252</v>
      </c>
      <c r="R100" s="12">
        <f t="shared" si="21"/>
        <v>0.15290295735988257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0.99200269258415252</v>
      </c>
      <c r="Q101" s="12">
        <v>0.99395011937024225</v>
      </c>
      <c r="R101" s="12">
        <f t="shared" si="21"/>
        <v>1.9474267860897232E-3</v>
      </c>
    </row>
    <row r="102" spans="14:18">
      <c r="N102" s="8" t="s">
        <v>148</v>
      </c>
      <c r="O102" s="21">
        <f t="shared" si="20"/>
        <v>1.1267525220079486</v>
      </c>
      <c r="P102" s="12">
        <f>Q101</f>
        <v>0.99395011937024225</v>
      </c>
      <c r="Q102" s="12">
        <f>T87</f>
        <v>1.2595549246456548</v>
      </c>
      <c r="R102" s="12">
        <f t="shared" si="21"/>
        <v>0.26560480527541253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L35"/>
  <sheetViews>
    <sheetView topLeftCell="A4" zoomScale="130" zoomScaleNormal="130" workbookViewId="0">
      <selection activeCell="B2" sqref="B2:C3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6384" width="10.83203125" style="8"/>
  </cols>
  <sheetData>
    <row r="2" spans="2:12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2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</row>
    <row r="4" spans="2:12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</row>
    <row r="5" spans="2:12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</row>
    <row r="6" spans="2:12">
      <c r="B6" s="24" t="s">
        <v>113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</row>
    <row r="7" spans="2:12">
      <c r="B7" s="24" t="s">
        <v>119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</row>
    <row r="8" spans="2:12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</row>
    <row r="9" spans="2:12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</row>
    <row r="10" spans="2:12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</row>
    <row r="11" spans="2:12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</row>
    <row r="12" spans="2:12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</row>
    <row r="13" spans="2:12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12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12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</row>
    <row r="16" spans="2:12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</row>
    <row r="17" spans="2:10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</row>
    <row r="18" spans="2:10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</row>
    <row r="19" spans="2:10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</row>
    <row r="20" spans="2:10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</row>
    <row r="21" spans="2:10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</row>
    <row r="23" spans="2:10">
      <c r="B23" s="8" t="s">
        <v>179</v>
      </c>
      <c r="C23" s="12">
        <v>1.181</v>
      </c>
    </row>
    <row r="24" spans="2:10">
      <c r="E24" s="8" t="s">
        <v>121</v>
      </c>
      <c r="I24" s="8" t="s">
        <v>123</v>
      </c>
    </row>
    <row r="25" spans="2:10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10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1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</row>
    <row r="28" spans="2:1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0">D28</f>
        <v>4</v>
      </c>
      <c r="I28" s="14" cm="1">
        <f t="array" ref="I28">ROOT(($G$26/H28)^2*$C$3,3)</f>
        <v>2.0652087686106273</v>
      </c>
    </row>
    <row r="29" spans="2:1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0"/>
        <v>3</v>
      </c>
      <c r="I29" s="14" cm="1">
        <f t="array" ref="I29">ROOT(($G$26/H29)^2*$C$3,3)</f>
        <v>2.501822254626584</v>
      </c>
    </row>
    <row r="30" spans="2:1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0"/>
        <v>2.5</v>
      </c>
      <c r="I30" s="14" cm="1">
        <f t="array" ref="I30">ROOT(($G$26/H30)^2*$C$3,3)</f>
        <v>2.8251658553519787</v>
      </c>
    </row>
    <row r="31" spans="2:1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0"/>
        <v>2.3333333333333335</v>
      </c>
      <c r="I31" s="14" cm="1">
        <f t="array" ref="I31">ROOT(($G$26/H31)^2*$C$3,3)</f>
        <v>2.9581448156989745</v>
      </c>
    </row>
    <row r="32" spans="2:1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0"/>
        <v>2</v>
      </c>
      <c r="I32" s="14" cm="1">
        <f t="array" ref="I32">ROOT(($G$26/H32)^2*$C$3,3)</f>
        <v>3.2783145718264595</v>
      </c>
    </row>
    <row r="33" spans="2: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0"/>
        <v>1.667</v>
      </c>
      <c r="I33" s="14" cm="1">
        <f t="array" ref="I33">ROOT(($G$26/H33)^2*$C$3,3)</f>
        <v>3.701521031625449</v>
      </c>
    </row>
    <row r="34" spans="2: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0"/>
        <v>1.5</v>
      </c>
      <c r="I34" s="14" cm="1">
        <f t="array" ref="I34">ROOT(($G$26/H34)^2*$C$3,3)</f>
        <v>3.9713952788316917</v>
      </c>
    </row>
    <row r="35" spans="2: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0"/>
        <v>1.333</v>
      </c>
      <c r="I35" s="14" cm="1">
        <f t="array" ref="I35">ROOT(($G$26/H35)^2*$C$3,3)</f>
        <v>4.2965234678968427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L35"/>
  <sheetViews>
    <sheetView tabSelected="1" zoomScale="130" zoomScaleNormal="130" workbookViewId="0">
      <selection activeCell="C8" sqref="C8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6384" width="10.83203125" style="8"/>
  </cols>
  <sheetData>
    <row r="2" spans="2:12">
      <c r="B2" s="8" t="s">
        <v>163</v>
      </c>
      <c r="C2" s="14">
        <f>333000*C3</f>
        <v>393273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2">
      <c r="B3" s="8" t="s">
        <v>180</v>
      </c>
      <c r="C3" s="14">
        <v>1.181</v>
      </c>
      <c r="F3" s="12" cm="1">
        <f t="array" ref="F3:F20">_xlfn.VSTACK(E27:E35,I27:I35)</f>
        <v>6.269094030728386</v>
      </c>
      <c r="G3" s="8" cm="1">
        <f t="array" ref="G3:G20">_xlfn.SEQUENCE(COUNTA(_xlfn.ANCHORARRAY(H3)))</f>
        <v>1</v>
      </c>
      <c r="H3" s="21" cm="1">
        <f t="array" ref="H3:H20">_xlfn._xlws.SORT(_xlfn.ANCHORARRAY(F3))</f>
        <v>2.5968381374771261</v>
      </c>
    </row>
    <row r="4" spans="2:12">
      <c r="B4" s="8" t="s">
        <v>159</v>
      </c>
      <c r="C4" s="14">
        <v>0.107</v>
      </c>
      <c r="F4" s="12">
        <v>5.4025414619492169</v>
      </c>
      <c r="G4" s="8">
        <v>2</v>
      </c>
      <c r="H4" s="21">
        <v>2.8094347745919372</v>
      </c>
      <c r="I4" s="12">
        <f>AVERAGE(H3:H4)</f>
        <v>2.7031364560345317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2.7031364560345317</v>
      </c>
    </row>
    <row r="5" spans="2:12">
      <c r="B5" s="8" t="s">
        <v>160</v>
      </c>
      <c r="C5" s="14">
        <v>317.8</v>
      </c>
      <c r="F5" s="12">
        <v>4.4596997166232821</v>
      </c>
      <c r="G5" s="8">
        <v>3</v>
      </c>
      <c r="H5" s="21">
        <v>3.0142678927587934</v>
      </c>
      <c r="K5" s="8" t="str">
        <v>Gap 2</v>
      </c>
      <c r="L5" s="14">
        <v>3.2088278740893066</v>
      </c>
    </row>
    <row r="6" spans="2:12">
      <c r="B6" s="24" t="s">
        <v>113</v>
      </c>
      <c r="C6" s="25">
        <v>2.1440000000000001</v>
      </c>
      <c r="D6" s="25">
        <f>SQRT(C6^3/C3)</f>
        <v>2.8887650608226996</v>
      </c>
      <c r="F6" s="12">
        <v>3.9492817665424944</v>
      </c>
      <c r="G6" s="8">
        <v>4</v>
      </c>
      <c r="H6" s="21">
        <v>3.4033878554198198</v>
      </c>
      <c r="I6" s="12">
        <f>AVERAGE(H5:H6)</f>
        <v>3.2088278740893066</v>
      </c>
      <c r="J6" s="8" t="b">
        <f>AND(I6&gt;$C$20,I6&lt;$C$21)</f>
        <v>1</v>
      </c>
      <c r="K6" s="8" t="str">
        <v>Gap 3</v>
      </c>
      <c r="L6" s="14">
        <v>3.8605147493489707</v>
      </c>
    </row>
    <row r="7" spans="2:12">
      <c r="B7" s="24" t="s">
        <v>119</v>
      </c>
      <c r="C7" s="25">
        <v>19.073</v>
      </c>
      <c r="D7" s="25">
        <f>SQRT(C7^3/C3)</f>
        <v>76.648483085908964</v>
      </c>
      <c r="F7" s="12">
        <v>3.7717477321554465</v>
      </c>
      <c r="G7" s="8">
        <v>5</v>
      </c>
      <c r="H7" s="21">
        <v>3.7717477321554465</v>
      </c>
      <c r="K7" s="8" t="str">
        <v>Gap 4</v>
      </c>
      <c r="L7" s="14">
        <v>4.93112058928625</v>
      </c>
    </row>
    <row r="8" spans="2:12">
      <c r="B8" s="8" t="s">
        <v>126</v>
      </c>
      <c r="C8" s="14">
        <f>AVERAGE(C6:C7)</f>
        <v>10.608499999999999</v>
      </c>
      <c r="F8" s="12">
        <v>3.4033878554198198</v>
      </c>
      <c r="G8" s="8">
        <v>6</v>
      </c>
      <c r="H8" s="21">
        <v>3.9492817665424944</v>
      </c>
      <c r="I8" s="12">
        <f>AVERAGE(H7:H8)</f>
        <v>3.8605147493489707</v>
      </c>
      <c r="J8" s="8" t="b">
        <f>AND(I8&gt;$C$20,I8&lt;$C$21)</f>
        <v>1</v>
      </c>
      <c r="K8" s="8" t="str">
        <v>Gap 5</v>
      </c>
      <c r="L8" s="14">
        <v>6.3959841384606566</v>
      </c>
    </row>
    <row r="9" spans="2:12">
      <c r="B9" s="8" t="s">
        <v>158</v>
      </c>
      <c r="C9" s="14">
        <f>ABS((C7-C6))/2</f>
        <v>8.464500000000001</v>
      </c>
      <c r="F9" s="12">
        <v>3.0142678927587934</v>
      </c>
      <c r="G9" s="8">
        <v>7</v>
      </c>
      <c r="H9" s="21">
        <v>4.4596997166232821</v>
      </c>
      <c r="K9" s="8" t="str">
        <v>Gap 6</v>
      </c>
      <c r="L9" s="14">
        <v>8.369233542102549</v>
      </c>
    </row>
    <row r="10" spans="2:12">
      <c r="B10" s="8" t="s">
        <v>161</v>
      </c>
      <c r="C10" s="14">
        <f>C8+C9*((C4-C5)/(C4+C5))</f>
        <v>2.1496979022166851</v>
      </c>
      <c r="F10" s="12">
        <v>2.8094347745919372</v>
      </c>
      <c r="G10" s="8">
        <v>8</v>
      </c>
      <c r="H10" s="21">
        <v>5.4025414619492169</v>
      </c>
      <c r="I10" s="12">
        <f>AVERAGE(H9:H10)</f>
        <v>4.93112058928625</v>
      </c>
      <c r="J10" s="8" t="b">
        <f>AND(I10&gt;$C$20,I10&lt;$C$21)</f>
        <v>1</v>
      </c>
      <c r="K10" s="8" t="str">
        <v>Gap 7</v>
      </c>
      <c r="L10" s="14">
        <v>10.598105729146312</v>
      </c>
    </row>
    <row r="11" spans="2:12">
      <c r="B11" s="8" t="s">
        <v>162</v>
      </c>
      <c r="C11" s="14">
        <f>(C4+C5)/C2</f>
        <v>8.0836213012334956E-4</v>
      </c>
      <c r="F11" s="12">
        <v>2.5968381374771261</v>
      </c>
      <c r="G11" s="8">
        <v>9</v>
      </c>
      <c r="H11" s="21">
        <v>6.269094030728386</v>
      </c>
      <c r="K11" s="8" t="str">
        <v>Gap 8</v>
      </c>
      <c r="L11" s="14">
        <v>12.790776754865322</v>
      </c>
    </row>
    <row r="12" spans="2:12">
      <c r="B12" s="8" t="s">
        <v>164</v>
      </c>
      <c r="C12" s="14">
        <f>C7-C6</f>
        <v>16.929000000000002</v>
      </c>
      <c r="F12" s="12">
        <v>6.5228742461929272</v>
      </c>
      <c r="G12" s="8">
        <v>10</v>
      </c>
      <c r="H12" s="21">
        <v>6.5228742461929272</v>
      </c>
      <c r="I12" s="12">
        <f>AVERAGE(H11:H12)</f>
        <v>6.3959841384606566</v>
      </c>
      <c r="J12" s="8" t="b">
        <f>AND(I12&gt;$C$20,I12&lt;$C$21)</f>
        <v>1</v>
      </c>
      <c r="K12" s="8" t="str">
        <v>Gap 9</v>
      </c>
      <c r="L12" s="14">
        <v>15.151231192962467</v>
      </c>
    </row>
    <row r="13" spans="2:12">
      <c r="B13" s="8" t="s">
        <v>166</v>
      </c>
      <c r="C13" s="14">
        <v>2</v>
      </c>
      <c r="F13" s="12">
        <v>7.5691250660473655</v>
      </c>
      <c r="G13" s="8">
        <v>11</v>
      </c>
      <c r="H13" s="21">
        <v>7.5691250660473655</v>
      </c>
    </row>
    <row r="14" spans="2:12">
      <c r="B14" s="8" t="s">
        <v>167</v>
      </c>
      <c r="C14" s="14" cm="1">
        <f t="array" ref="C14">1-(C13*ROOT(C11,3))</f>
        <v>0.81369179474483777</v>
      </c>
      <c r="F14" s="12">
        <v>9.1693420181577316</v>
      </c>
      <c r="G14" s="8">
        <v>12</v>
      </c>
      <c r="H14" s="21">
        <v>9.1693420181577316</v>
      </c>
      <c r="I14" s="12">
        <f>AVERAGE(H13:H14)</f>
        <v>8.369233542102549</v>
      </c>
      <c r="J14" s="8" t="b">
        <f>AND(I14&gt;$C$20,I14&lt;$C$21)</f>
        <v>1</v>
      </c>
    </row>
    <row r="15" spans="2:12">
      <c r="B15" s="8" t="s">
        <v>165</v>
      </c>
      <c r="C15" s="14">
        <f>C12*C14</f>
        <v>13.774988393235361</v>
      </c>
      <c r="F15" s="12">
        <v>10.354417440262928</v>
      </c>
      <c r="G15" s="8">
        <v>13</v>
      </c>
      <c r="H15" s="21">
        <v>10.354417440262928</v>
      </c>
    </row>
    <row r="16" spans="2:12">
      <c r="B16" s="8" t="s">
        <v>170</v>
      </c>
      <c r="C16" s="14">
        <f>C4/(C4+C5)</f>
        <v>3.3657642014803068E-4</v>
      </c>
      <c r="F16" s="12">
        <v>10.841794018029697</v>
      </c>
      <c r="G16" s="8">
        <v>14</v>
      </c>
      <c r="H16" s="21">
        <v>10.841794018029697</v>
      </c>
      <c r="I16" s="12">
        <f>AVERAGE(H15:H16)</f>
        <v>10.598105729146312</v>
      </c>
      <c r="J16" s="8" t="b">
        <f>AND(I16&gt;$C$20,I16&lt;$C$21)</f>
        <v>1</v>
      </c>
    </row>
    <row r="17" spans="2:10">
      <c r="B17" s="8" t="s">
        <v>171</v>
      </c>
      <c r="C17" s="14">
        <f>C5/(C4+C5)</f>
        <v>0.99966342357985183</v>
      </c>
      <c r="F17" s="12">
        <v>12.015237092322455</v>
      </c>
      <c r="G17" s="8">
        <v>15</v>
      </c>
      <c r="H17" s="21">
        <v>12.015237092322455</v>
      </c>
    </row>
    <row r="18" spans="2:10">
      <c r="B18" s="8" t="s">
        <v>172</v>
      </c>
      <c r="C18" s="14">
        <f>C15*C16</f>
        <v>4.6363362809758307E-3</v>
      </c>
      <c r="F18" s="12">
        <v>13.566316417408188</v>
      </c>
      <c r="G18" s="8">
        <v>16</v>
      </c>
      <c r="H18" s="21">
        <v>13.566316417408188</v>
      </c>
      <c r="I18" s="12">
        <f>AVERAGE(H17:H18)</f>
        <v>12.790776754865322</v>
      </c>
      <c r="J18" s="8" t="b">
        <f>AND(I18&gt;$C$20,I18&lt;$C$21)</f>
        <v>1</v>
      </c>
    </row>
    <row r="19" spans="2:10">
      <c r="B19" s="8" t="s">
        <v>173</v>
      </c>
      <c r="C19" s="14">
        <f>C15*C17</f>
        <v>13.770352056954383</v>
      </c>
      <c r="F19" s="12">
        <v>14.555423165479802</v>
      </c>
      <c r="G19" s="8">
        <v>17</v>
      </c>
      <c r="H19" s="12">
        <v>14.555423165479802</v>
      </c>
    </row>
    <row r="20" spans="2:10">
      <c r="B20" s="8" t="s">
        <v>168</v>
      </c>
      <c r="C20" s="14">
        <f>C10-C18</f>
        <v>2.1450615659357091</v>
      </c>
      <c r="D20" s="8" t="s">
        <v>174</v>
      </c>
      <c r="E20" s="14">
        <f>C20-C6</f>
        <v>1.0615659357089413E-3</v>
      </c>
      <c r="F20" s="12">
        <v>15.74703922044513</v>
      </c>
      <c r="G20" s="8">
        <v>18</v>
      </c>
      <c r="H20" s="12">
        <v>15.74703922044513</v>
      </c>
      <c r="I20" s="12">
        <f>AVERAGE(H19:H20)</f>
        <v>15.151231192962467</v>
      </c>
      <c r="J20" s="8" t="b">
        <f>AND(I20&gt;$C$20,I20&lt;$C$21)</f>
        <v>1</v>
      </c>
    </row>
    <row r="21" spans="2:10">
      <c r="B21" s="8" t="s">
        <v>169</v>
      </c>
      <c r="C21" s="14">
        <f>C10+C19</f>
        <v>15.920049959171068</v>
      </c>
      <c r="D21" s="8" t="s">
        <v>175</v>
      </c>
      <c r="E21" s="14">
        <f>C7-C21</f>
        <v>3.1529500408289319</v>
      </c>
    </row>
    <row r="23" spans="2:10">
      <c r="B23" s="8" t="s">
        <v>179</v>
      </c>
      <c r="C23" s="12">
        <v>1.181</v>
      </c>
    </row>
    <row r="24" spans="2:10">
      <c r="E24" s="8" t="s">
        <v>121</v>
      </c>
      <c r="I24" s="8" t="s">
        <v>123</v>
      </c>
    </row>
    <row r="25" spans="2:10">
      <c r="B25" s="24" t="s">
        <v>113</v>
      </c>
      <c r="C25" s="25" cm="1">
        <f t="array" ref="C25:C26">TRANSPOSE(C6:D6)</f>
        <v>2.1440000000000001</v>
      </c>
      <c r="E25" s="8" t="s">
        <v>122</v>
      </c>
      <c r="F25" s="24" t="s">
        <v>119</v>
      </c>
      <c r="G25" s="25" cm="1">
        <f t="array" ref="G25:G26">TRANSPOSE(C7:D7)</f>
        <v>19.073</v>
      </c>
      <c r="I25" s="8" t="s">
        <v>122</v>
      </c>
    </row>
    <row r="26" spans="2:10">
      <c r="B26" s="24" t="s">
        <v>115</v>
      </c>
      <c r="C26" s="25">
        <v>2.8887650608226996</v>
      </c>
      <c r="D26" s="8" t="s">
        <v>114</v>
      </c>
      <c r="F26" s="24" t="s">
        <v>120</v>
      </c>
      <c r="G26" s="25">
        <v>76.648483085908964</v>
      </c>
      <c r="H26" s="8" t="s">
        <v>114</v>
      </c>
    </row>
    <row r="27" spans="2:1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6.269094030728386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6.5228742461929272</v>
      </c>
    </row>
    <row r="28" spans="2:1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5.4025414619492169</v>
      </c>
      <c r="F28" s="8" t="s">
        <v>109</v>
      </c>
      <c r="G28" s="8" t="s">
        <v>94</v>
      </c>
      <c r="H28" s="14">
        <f t="shared" ref="H28:H35" si="0">D28</f>
        <v>4</v>
      </c>
      <c r="I28" s="14" cm="1">
        <f t="array" ref="I28">ROOT(($G$26/H28)^2*$C$3,3)</f>
        <v>7.5691250660473655</v>
      </c>
    </row>
    <row r="29" spans="2:1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4.4596997166232821</v>
      </c>
      <c r="F29" s="8" t="s">
        <v>110</v>
      </c>
      <c r="G29" s="8" t="s">
        <v>92</v>
      </c>
      <c r="H29" s="14">
        <f t="shared" si="0"/>
        <v>3</v>
      </c>
      <c r="I29" s="14" cm="1">
        <f t="array" ref="I29">ROOT(($G$26/H29)^2*$C$3,3)</f>
        <v>9.1693420181577316</v>
      </c>
    </row>
    <row r="30" spans="2:1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3.9492817665424944</v>
      </c>
      <c r="F30" s="8" t="s">
        <v>111</v>
      </c>
      <c r="G30" s="8" t="s">
        <v>98</v>
      </c>
      <c r="H30" s="14">
        <f t="shared" si="0"/>
        <v>2.5</v>
      </c>
      <c r="I30" s="14" cm="1">
        <f t="array" ref="I30">ROOT(($G$26/H30)^2*$C$3,3)</f>
        <v>10.354417440262928</v>
      </c>
    </row>
    <row r="31" spans="2:1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3.7717477321554465</v>
      </c>
      <c r="F31" s="8" t="s">
        <v>112</v>
      </c>
      <c r="G31" s="15" t="s">
        <v>187</v>
      </c>
      <c r="H31" s="14">
        <f t="shared" si="0"/>
        <v>2.3333333333333335</v>
      </c>
      <c r="I31" s="14" cm="1">
        <f t="array" ref="I31">ROOT(($G$26/H31)^2*$C$3,3)</f>
        <v>10.841794018029697</v>
      </c>
    </row>
    <row r="32" spans="2:1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3.4033878554198198</v>
      </c>
      <c r="F32" s="8" t="s">
        <v>116</v>
      </c>
      <c r="G32" s="8" t="s">
        <v>93</v>
      </c>
      <c r="H32" s="14">
        <f t="shared" si="0"/>
        <v>2</v>
      </c>
      <c r="I32" s="14" cm="1">
        <f t="array" ref="I32">ROOT(($G$26/H32)^2*$C$3,3)</f>
        <v>12.015237092322455</v>
      </c>
    </row>
    <row r="33" spans="2: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3.0142678927587934</v>
      </c>
      <c r="F33" s="8" t="s">
        <v>117</v>
      </c>
      <c r="G33" s="8" t="s">
        <v>103</v>
      </c>
      <c r="H33" s="14">
        <f t="shared" si="0"/>
        <v>1.667</v>
      </c>
      <c r="I33" s="14" cm="1">
        <f t="array" ref="I33">ROOT(($G$26/H33)^2*$C$3,3)</f>
        <v>13.566316417408188</v>
      </c>
    </row>
    <row r="34" spans="2: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2.8094347745919372</v>
      </c>
      <c r="F34" s="8" t="s">
        <v>118</v>
      </c>
      <c r="G34" s="8" t="s">
        <v>96</v>
      </c>
      <c r="H34" s="14">
        <f t="shared" si="0"/>
        <v>1.5</v>
      </c>
      <c r="I34" s="14" cm="1">
        <f t="array" ref="I34">ROOT(($G$26/H34)^2*$C$3,3)</f>
        <v>14.555423165479802</v>
      </c>
    </row>
    <row r="35" spans="2: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2.5968381374771261</v>
      </c>
      <c r="F35" s="8" t="s">
        <v>186</v>
      </c>
      <c r="G35" s="8" t="s">
        <v>97</v>
      </c>
      <c r="H35" s="14">
        <f t="shared" si="0"/>
        <v>1.333</v>
      </c>
      <c r="I35" s="14" cm="1">
        <f t="array" ref="I35">ROOT(($G$26/H35)^2*$C$3,3)</f>
        <v>15.74703922044513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Stele-Rosetta system</vt:lpstr>
      <vt:lpstr>Stele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2025-09-13T22:56:13Z</dcterms:modified>
</cp:coreProperties>
</file>