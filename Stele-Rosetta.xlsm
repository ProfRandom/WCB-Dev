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237673E5-0F1A-F043-B551-8F695D094C25}" xr6:coauthVersionLast="47" xr6:coauthVersionMax="47" xr10:uidLastSave="{00000000-0000-0000-0000-000000000000}"/>
  <bookViews>
    <workbookView xWindow="2540" yWindow="2580" windowWidth="33400" windowHeight="17660" tabRatio="833" activeTab="2" xr2:uid="{1F53B416-A8EA-154F-927D-A8DD520A3B1E}"/>
  </bookViews>
  <sheets>
    <sheet name="Stele-Rosetta system" sheetId="39" r:id="rId1"/>
    <sheet name="Stele" sheetId="41" r:id="rId2"/>
    <sheet name="Sheet1" sheetId="43" r:id="rId3"/>
    <sheet name="Hororology" sheetId="40" r:id="rId4"/>
    <sheet name="Sheet1 (2)" sheetId="44" r:id="rId5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" i="43" l="1" a="1"/>
  <c r="T17" i="43" s="1"/>
  <c r="T18" i="43" a="1"/>
  <c r="T18" i="43" s="1"/>
  <c r="T19" i="43" a="1"/>
  <c r="T19" i="43" s="1"/>
  <c r="T20" i="43" a="1"/>
  <c r="T20" i="43" s="1"/>
  <c r="T21" i="43" a="1"/>
  <c r="T21" i="43"/>
  <c r="T22" i="43" a="1"/>
  <c r="T22" i="43" s="1"/>
  <c r="T23" i="43" a="1"/>
  <c r="T23" i="43" s="1"/>
  <c r="T24" i="43" a="1"/>
  <c r="T24" i="43" s="1"/>
  <c r="T16" i="43" a="1"/>
  <c r="T16" i="43" s="1"/>
  <c r="S17" i="43"/>
  <c r="S18" i="43"/>
  <c r="S19" i="43"/>
  <c r="S20" i="43"/>
  <c r="S21" i="43"/>
  <c r="S22" i="43"/>
  <c r="S23" i="43"/>
  <c r="S24" i="43"/>
  <c r="S16" i="43"/>
  <c r="P34" i="43" a="1"/>
  <c r="P34" i="43" s="1"/>
  <c r="P35" i="43" a="1"/>
  <c r="P35" i="43" s="1"/>
  <c r="P36" i="43" a="1"/>
  <c r="P36" i="43" s="1"/>
  <c r="P37" i="43" a="1"/>
  <c r="P37" i="43" s="1"/>
  <c r="P38" i="43" a="1"/>
  <c r="P38" i="43" s="1"/>
  <c r="P39" i="43" a="1"/>
  <c r="P39" i="43" s="1"/>
  <c r="P40" i="43" a="1"/>
  <c r="P40" i="43" s="1"/>
  <c r="P33" i="43" a="1"/>
  <c r="P33" i="43" s="1"/>
  <c r="P32" i="43" a="1"/>
  <c r="P32" i="43" s="1"/>
  <c r="K27" i="43" a="1"/>
  <c r="K27" i="43" s="1"/>
  <c r="V85" i="41" a="1"/>
  <c r="V85" i="41" s="1"/>
  <c r="V86" i="41" a="1"/>
  <c r="V86" i="41" s="1"/>
  <c r="V87" i="41" a="1"/>
  <c r="V87" i="41" s="1"/>
  <c r="V88" i="41" a="1"/>
  <c r="V88" i="41" s="1"/>
  <c r="V89" i="41" a="1"/>
  <c r="V89" i="41" s="1"/>
  <c r="R86" i="41"/>
  <c r="Q85" i="41"/>
  <c r="R85" i="41" s="1"/>
  <c r="H35" i="44"/>
  <c r="H34" i="44"/>
  <c r="H33" i="44"/>
  <c r="H32" i="44"/>
  <c r="D31" i="44"/>
  <c r="H31" i="44" s="1"/>
  <c r="H30" i="44"/>
  <c r="H29" i="44"/>
  <c r="H28" i="44"/>
  <c r="H27" i="44"/>
  <c r="C17" i="44"/>
  <c r="C16" i="44"/>
  <c r="C12" i="44"/>
  <c r="C9" i="44"/>
  <c r="C8" i="44"/>
  <c r="C10" i="44" s="1"/>
  <c r="D7" i="44"/>
  <c r="G25" i="44" s="1" a="1"/>
  <c r="I28" i="44" s="1" a="1"/>
  <c r="I28" i="44" s="1"/>
  <c r="D6" i="44"/>
  <c r="C25" i="44" s="1" a="1"/>
  <c r="C2" i="44"/>
  <c r="C11" i="44" s="1"/>
  <c r="C14" i="44" s="1" a="1"/>
  <c r="C14" i="44" s="1"/>
  <c r="C15" i="44" s="1"/>
  <c r="C2" i="43"/>
  <c r="C59" i="41"/>
  <c r="E30" i="44" l="1" a="1"/>
  <c r="E30" i="44" s="1"/>
  <c r="E35" i="44" a="1"/>
  <c r="E35" i="44" s="1"/>
  <c r="I34" i="44" a="1"/>
  <c r="I34" i="44" s="1"/>
  <c r="C19" i="44"/>
  <c r="C18" i="44"/>
  <c r="C20" i="44" s="1"/>
  <c r="E20" i="44" s="1"/>
  <c r="C21" i="44"/>
  <c r="E21" i="44" s="1"/>
  <c r="E32" i="44" a="1"/>
  <c r="E32" i="44" s="1"/>
  <c r="I30" i="44" a="1"/>
  <c r="I30" i="44" s="1"/>
  <c r="G25" i="44"/>
  <c r="I32" i="44" a="1"/>
  <c r="I32" i="44" s="1"/>
  <c r="E29" i="44" a="1"/>
  <c r="E29" i="44" s="1"/>
  <c r="I27" i="44" a="1"/>
  <c r="I27" i="44" s="1"/>
  <c r="I29" i="44" a="1"/>
  <c r="I29" i="44" s="1"/>
  <c r="E34" i="44" a="1"/>
  <c r="E34" i="44" s="1"/>
  <c r="E27" i="44" a="1"/>
  <c r="E27" i="44" s="1"/>
  <c r="E33" i="44" a="1"/>
  <c r="E33" i="44" s="1"/>
  <c r="I31" i="44" a="1"/>
  <c r="I31" i="44" s="1"/>
  <c r="I33" i="44" a="1"/>
  <c r="I33" i="44" s="1"/>
  <c r="I35" i="44" a="1"/>
  <c r="I35" i="44" s="1"/>
  <c r="C25" i="44"/>
  <c r="E31" i="44" a="1"/>
  <c r="E31" i="44" s="1"/>
  <c r="E28" i="44" a="1"/>
  <c r="E28" i="44" s="1"/>
  <c r="H28" i="43"/>
  <c r="H29" i="43"/>
  <c r="H30" i="43"/>
  <c r="H31" i="43"/>
  <c r="H32" i="43"/>
  <c r="H33" i="43"/>
  <c r="H34" i="43"/>
  <c r="H35" i="43"/>
  <c r="H27" i="43"/>
  <c r="D31" i="43"/>
  <c r="D7" i="43"/>
  <c r="G25" i="43" s="1" a="1"/>
  <c r="I28" i="43" s="1" a="1"/>
  <c r="I28" i="43" s="1"/>
  <c r="D6" i="43"/>
  <c r="C25" i="43" s="1" a="1"/>
  <c r="E28" i="43" s="1" a="1"/>
  <c r="E28" i="43" s="1"/>
  <c r="C17" i="43"/>
  <c r="C16" i="43"/>
  <c r="C11" i="43"/>
  <c r="C14" i="43" s="1" a="1"/>
  <c r="C14" i="43" s="1"/>
  <c r="C8" i="43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H3" i="39" a="1"/>
  <c r="H3" i="39" s="1"/>
  <c r="I3" i="39" s="1"/>
  <c r="J3" i="39" s="1"/>
  <c r="K3" i="39" s="1"/>
  <c r="E31" i="43" l="1" a="1"/>
  <c r="E31" i="43" s="1"/>
  <c r="I11" i="39"/>
  <c r="J11" i="39" s="1"/>
  <c r="K11" i="39" s="1"/>
  <c r="I10" i="39"/>
  <c r="J10" i="39" s="1"/>
  <c r="K10" i="39" s="1"/>
  <c r="I5" i="39"/>
  <c r="J5" i="39" s="1"/>
  <c r="K5" i="39" s="1"/>
  <c r="I4" i="39"/>
  <c r="J4" i="39" s="1"/>
  <c r="K4" i="39" s="1"/>
  <c r="I12" i="39"/>
  <c r="J12" i="39" s="1"/>
  <c r="K12" i="39" s="1"/>
  <c r="I9" i="39"/>
  <c r="J9" i="39" s="1"/>
  <c r="K9" i="39" s="1"/>
  <c r="F3" i="44" a="1"/>
  <c r="F3" i="44" s="1"/>
  <c r="H3" i="44" s="1" a="1"/>
  <c r="I7" i="39"/>
  <c r="J7" i="39" s="1"/>
  <c r="K7" i="39" s="1"/>
  <c r="I8" i="39"/>
  <c r="J8" i="39" s="1"/>
  <c r="K8" i="39" s="1"/>
  <c r="I6" i="39"/>
  <c r="J6" i="39" s="1"/>
  <c r="K6" i="39" s="1"/>
  <c r="I35" i="43" a="1"/>
  <c r="I35" i="43" s="1"/>
  <c r="I31" i="43" a="1"/>
  <c r="I31" i="43" s="1"/>
  <c r="I32" i="43" a="1"/>
  <c r="I32" i="43" s="1"/>
  <c r="I30" i="43" a="1"/>
  <c r="I30" i="43" s="1"/>
  <c r="I34" i="43" a="1"/>
  <c r="I34" i="43" s="1"/>
  <c r="I29" i="43" a="1"/>
  <c r="I29" i="43" s="1"/>
  <c r="I33" i="43" a="1"/>
  <c r="I33" i="43" s="1"/>
  <c r="C12" i="43"/>
  <c r="C15" i="43" s="1"/>
  <c r="C9" i="43"/>
  <c r="C10" i="43" s="1"/>
  <c r="E27" i="43" a="1"/>
  <c r="E27" i="43" s="1"/>
  <c r="E35" i="43" a="1"/>
  <c r="E35" i="43" s="1"/>
  <c r="E34" i="43" a="1"/>
  <c r="E34" i="43" s="1"/>
  <c r="E33" i="43" a="1"/>
  <c r="E33" i="43" s="1"/>
  <c r="E32" i="43" a="1"/>
  <c r="E32" i="43" s="1"/>
  <c r="E30" i="43" a="1"/>
  <c r="E30" i="43" s="1"/>
  <c r="E29" i="43" a="1"/>
  <c r="E29" i="43" s="1"/>
  <c r="I27" i="43" a="1"/>
  <c r="I27" i="43" s="1"/>
  <c r="C25" i="43"/>
  <c r="G2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I12" i="44" l="1"/>
  <c r="J12" i="44" s="1"/>
  <c r="H3" i="44"/>
  <c r="I6" i="44"/>
  <c r="J6" i="44" s="1"/>
  <c r="I20" i="44"/>
  <c r="J20" i="44" s="1"/>
  <c r="I10" i="44"/>
  <c r="J10" i="44" s="1"/>
  <c r="I18" i="44"/>
  <c r="J18" i="44" s="1"/>
  <c r="I8" i="44"/>
  <c r="J8" i="44" s="1"/>
  <c r="I16" i="44"/>
  <c r="J16" i="44" s="1"/>
  <c r="I14" i="44"/>
  <c r="J14" i="44" s="1"/>
  <c r="C76" i="41"/>
  <c r="C78" i="41" s="1"/>
  <c r="P90" i="41" s="1"/>
  <c r="Q108" i="41" s="1"/>
  <c r="P109" i="41" s="1"/>
  <c r="O109" i="41" s="1"/>
  <c r="F3" i="43" a="1"/>
  <c r="F3" i="43" s="1"/>
  <c r="H3" i="43" s="1" a="1"/>
  <c r="C19" i="43"/>
  <c r="C21" i="43" s="1"/>
  <c r="E21" i="43" s="1"/>
  <c r="C18" i="43"/>
  <c r="C20" i="43" s="1"/>
  <c r="J32" i="43" s="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J34" i="43" l="1"/>
  <c r="J35" i="43"/>
  <c r="J27" i="43"/>
  <c r="J31" i="43"/>
  <c r="J30" i="43"/>
  <c r="J33" i="43"/>
  <c r="E20" i="43"/>
  <c r="J28" i="43"/>
  <c r="J29" i="43"/>
  <c r="E78" i="41"/>
  <c r="H78" i="41"/>
  <c r="R109" i="41"/>
  <c r="G3" i="44" a="1"/>
  <c r="G3" i="44" s="1"/>
  <c r="I4" i="44"/>
  <c r="J4" i="44" s="1"/>
  <c r="L4" i="44" s="1" a="1"/>
  <c r="L4" i="44" s="1"/>
  <c r="K4" i="44" s="1" a="1"/>
  <c r="K4" i="44" s="1"/>
  <c r="I10" i="43"/>
  <c r="J10" i="43" s="1"/>
  <c r="I20" i="43"/>
  <c r="J20" i="43" s="1"/>
  <c r="H3" i="43"/>
  <c r="I18" i="43"/>
  <c r="J18" i="43" s="1"/>
  <c r="I6" i="43"/>
  <c r="J6" i="43" s="1"/>
  <c r="I12" i="43"/>
  <c r="J12" i="43" s="1"/>
  <c r="I14" i="43"/>
  <c r="J14" i="43" s="1"/>
  <c r="I8" i="43"/>
  <c r="J8" i="43" s="1"/>
  <c r="I16" i="43"/>
  <c r="J16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L16" i="43" l="1" a="1"/>
  <c r="I4" i="43"/>
  <c r="J4" i="43" s="1"/>
  <c r="L4" i="43" s="1" a="1"/>
  <c r="G3" i="43" a="1"/>
  <c r="G3" i="43" s="1"/>
  <c r="W73" i="41"/>
  <c r="P89" i="41"/>
  <c r="Q97" i="41"/>
  <c r="P98" i="41" s="1"/>
  <c r="P86" i="41"/>
  <c r="P87" i="41"/>
  <c r="P85" i="41"/>
  <c r="S85" i="41" s="1"/>
  <c r="P88" i="41"/>
  <c r="N60" i="41" a="1"/>
  <c r="T61" i="41"/>
  <c r="W61" i="41" s="1"/>
  <c r="R23" i="43" l="1"/>
  <c r="R24" i="43"/>
  <c r="O23" i="43"/>
  <c r="N24" i="43"/>
  <c r="M24" i="43"/>
  <c r="N23" i="43"/>
  <c r="O24" i="43"/>
  <c r="P24" i="43" s="1"/>
  <c r="M23" i="43"/>
  <c r="R20" i="43"/>
  <c r="R21" i="43"/>
  <c r="R22" i="43"/>
  <c r="R17" i="43"/>
  <c r="R18" i="43"/>
  <c r="R19" i="43"/>
  <c r="M22" i="43"/>
  <c r="N21" i="43"/>
  <c r="N20" i="43"/>
  <c r="O19" i="43"/>
  <c r="M20" i="43"/>
  <c r="N19" i="43"/>
  <c r="O20" i="43"/>
  <c r="N22" i="43"/>
  <c r="M21" i="43"/>
  <c r="O22" i="43"/>
  <c r="P22" i="43" s="1"/>
  <c r="M19" i="43"/>
  <c r="O21" i="43"/>
  <c r="L16" i="43"/>
  <c r="N18" i="43"/>
  <c r="N17" i="43"/>
  <c r="O18" i="43"/>
  <c r="M17" i="43"/>
  <c r="O17" i="43"/>
  <c r="M18" i="43"/>
  <c r="L4" i="43"/>
  <c r="L32" i="43" s="1" a="1"/>
  <c r="L32" i="43" s="1"/>
  <c r="O5" i="43"/>
  <c r="M5" i="43"/>
  <c r="N8" i="43"/>
  <c r="M10" i="43"/>
  <c r="M11" i="43"/>
  <c r="O6" i="43"/>
  <c r="N5" i="43"/>
  <c r="M6" i="43"/>
  <c r="M9" i="43"/>
  <c r="N9" i="43"/>
  <c r="N10" i="43"/>
  <c r="N11" i="43"/>
  <c r="N12" i="43"/>
  <c r="O7" i="43"/>
  <c r="P7" i="43" s="1"/>
  <c r="N6" i="43"/>
  <c r="M7" i="43"/>
  <c r="O9" i="43"/>
  <c r="O11" i="43"/>
  <c r="M12" i="43"/>
  <c r="O8" i="43"/>
  <c r="N7" i="43"/>
  <c r="M8" i="43"/>
  <c r="O10" i="43"/>
  <c r="O12" i="43"/>
  <c r="P12" i="43" s="1"/>
  <c r="R97" i="41"/>
  <c r="O97" i="41"/>
  <c r="Q87" i="41"/>
  <c r="R87" i="41" s="1"/>
  <c r="S87" i="41" s="1"/>
  <c r="U87" i="41" s="1"/>
  <c r="Q86" i="4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P21" i="43" l="1"/>
  <c r="P23" i="43"/>
  <c r="P11" i="43"/>
  <c r="P17" i="43"/>
  <c r="P19" i="43"/>
  <c r="P20" i="43"/>
  <c r="R16" i="43"/>
  <c r="M32" i="43" a="1"/>
  <c r="P18" i="43"/>
  <c r="P9" i="43"/>
  <c r="K16" i="43" a="1"/>
  <c r="K16" i="43" s="1"/>
  <c r="O16" i="43"/>
  <c r="N16" i="43"/>
  <c r="M16" i="43"/>
  <c r="Q17" i="43"/>
  <c r="Q18" i="43"/>
  <c r="Q23" i="43"/>
  <c r="Q24" i="43"/>
  <c r="Q19" i="43"/>
  <c r="Q22" i="43"/>
  <c r="Q20" i="43"/>
  <c r="Q21" i="43"/>
  <c r="P10" i="43"/>
  <c r="P6" i="43"/>
  <c r="P5" i="43"/>
  <c r="P8" i="43"/>
  <c r="K4" i="43" a="1"/>
  <c r="K4" i="43" s="1"/>
  <c r="O4" i="43"/>
  <c r="N4" i="43"/>
  <c r="M4" i="43"/>
  <c r="T89" i="41"/>
  <c r="T88" i="41"/>
  <c r="T86" i="41"/>
  <c r="Q100" i="41" s="1"/>
  <c r="R100" i="41" s="1"/>
  <c r="T87" i="41"/>
  <c r="P103" i="41" s="1" a="1"/>
  <c r="P105" i="41" a="1"/>
  <c r="Q104" i="41"/>
  <c r="P101" i="41" a="1"/>
  <c r="Q106" i="41"/>
  <c r="P107" i="41" a="1"/>
  <c r="Q98" i="41"/>
  <c r="P99" i="41" a="1"/>
  <c r="P99" i="41" s="1"/>
  <c r="O99" i="41" s="1"/>
  <c r="S61" i="41"/>
  <c r="N38" i="43" l="1" a="1"/>
  <c r="N38" i="43" s="1"/>
  <c r="N39" i="43" a="1"/>
  <c r="N39" i="43" s="1"/>
  <c r="N40" i="43" a="1"/>
  <c r="N40" i="43" s="1"/>
  <c r="N33" i="43" a="1"/>
  <c r="N33" i="43" s="1"/>
  <c r="N34" i="43" a="1"/>
  <c r="N34" i="43" s="1"/>
  <c r="N35" i="43" a="1"/>
  <c r="N35" i="43" s="1"/>
  <c r="N36" i="43" a="1"/>
  <c r="N36" i="43" s="1"/>
  <c r="N37" i="43" a="1"/>
  <c r="N37" i="43" s="1"/>
  <c r="M32" i="43"/>
  <c r="P16" i="43"/>
  <c r="Q16" i="43"/>
  <c r="P4" i="43"/>
  <c r="Q102" i="4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N32" i="43" l="1" a="1"/>
  <c r="N32" i="43" s="1"/>
  <c r="K32" i="43" a="1"/>
  <c r="K32" i="43" s="1"/>
  <c r="R104" i="4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<sst xmlns="http://schemas.openxmlformats.org/spreadsheetml/2006/main" count="438" uniqueCount="200">
  <si>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</si>
  <si>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</si>
  <si>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</si>
  <si>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</si>
  <si>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</si>
  <si>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</si>
  <si>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</si>
  <si>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</si>
  <si>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</si>
  <si>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</si>
  <si>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</si>
  <si>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</si>
  <si>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</si>
  <si>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</si>
  <si>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</si>
  <si>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</si>
  <si>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</si>
  <si>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</si>
  <si>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</si>
  <si>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</si>
  <si>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</si>
  <si>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</si>
  <si>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</si>
  <si>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</si>
  <si>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</si>
  <si>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</si>
  <si>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</si>
  <si>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</si>
  <si>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</si>
  <si>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</si>
  <si>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</si>
  <si>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</si>
  <si>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</si>
  <si>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</si>
  <si>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</si>
  <si>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</si>
  <si>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</si>
  <si>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</si>
  <si>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</si>
  <si>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</si>
  <si>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</si>
  <si>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</si>
  <si>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</si>
  <si>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</si>
  <si>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</si>
  <si>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</si>
  <si>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</si>
  <si>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</si>
  <si>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</si>
  <si>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</si>
  <si>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</si>
  <si>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</si>
  <si>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</si>
  <si>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</si>
  <si>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</si>
  <si>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</si>
  <si>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</si>
  <si>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</si>
  <si>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</si>
  <si>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</si>
  <si>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</si>
  <si>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</si>
  <si>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</si>
  <si>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</si>
  <si>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</si>
  <si>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</si>
  <si>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</si>
  <si>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</si>
  <si>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</si>
  <si>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</si>
  <si>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</si>
  <si>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</si>
  <si>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</si>
  <si>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</si>
  <si>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</si>
  <si>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</si>
  <si>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</si>
  <si>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</si>
  <si>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</si>
  <si>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</si>
  <si>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</si>
  <si>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</si>
  <si>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</si>
  <si>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</si>
  <si>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</si>
  <si>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</si>
  <si>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</si>
  <si>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</si>
  <si>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</si>
  <si>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</si>
  <si>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</si>
  <si>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</si>
  <si>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</si>
  <si>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</si>
  <si>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</si>
  <si>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</si>
  <si>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</si>
  <si>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</si>
  <si>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</si>
  <si>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</si>
  <si>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</si>
  <si>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</si>
  <si>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</si>
  <si>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</si>
  <si>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</si>
  <si>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</si>
  <si>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</si>
  <si>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</si>
  <si>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</si>
  <si>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</si>
  <si>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</si>
  <si>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</si>
  <si>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</si>
  <si>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</si>
  <si>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</si>
  <si>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</si>
  <si>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</si>
  <si>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</si>
  <si>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</si>
  <si>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</si>
  <si>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</si>
  <si>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</si>
  <si>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</si>
  <si>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</si>
  <si>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</si>
  <si>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</si>
  <si>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</si>
  <si>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</si>
  <si>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</si>
  <si>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</si>
  <si>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</si>
  <si>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</si>
  <si>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</si>
  <si>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</si>
  <si>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</si>
  <si>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</si>
  <si>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</si>
  <si>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</si>
  <si>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</si>
  <si>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</si>
  <si>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</si>
  <si>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</si>
  <si>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</si>
  <si>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</si>
  <si>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</si>
  <si>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</si>
  <si>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</si>
  <si>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</si>
  <si>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</si>
  <si>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</si>
  <si>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</si>
  <si>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</si>
  <si>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</si>
  <si>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</si>
  <si>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</si>
  <si>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</si>
  <si>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</si>
  <si>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</si>
  <si>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</si>
  <si>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</si>
  <si>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</si>
  <si>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</si>
  <si>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</si>
  <si>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</si>
  <si>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</si>
  <si>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</si>
  <si>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</si>
  <si>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</si>
  <si>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</si>
  <si>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</si>
  <si>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</si>
  <si>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</si>
  <si>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</si>
  <si>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</si>
  <si>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</si>
  <si>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</si>
  <si>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</si>
  <si>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</si>
  <si>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</si>
  <si>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</si>
  <si>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</si>
  <si>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</si>
  <si>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</si>
  <si>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Pairwise Averages</t>
  </si>
  <si>
    <t>Withn Belt Boundaries?</t>
  </si>
  <si>
    <t>Sorted</t>
  </si>
  <si>
    <t>Resonance 9</t>
  </si>
  <si>
    <t>7:3</t>
  </si>
  <si>
    <t>g_i</t>
  </si>
  <si>
    <t>g_o</t>
  </si>
  <si>
    <t>%</t>
  </si>
  <si>
    <t>g_net</t>
  </si>
  <si>
    <t>Combined</t>
  </si>
  <si>
    <t>Outer only</t>
  </si>
  <si>
    <t>% Diff</t>
  </si>
  <si>
    <t>in orbit</t>
  </si>
  <si>
    <t>out orbit</t>
  </si>
  <si>
    <t>Obsvd</t>
  </si>
  <si>
    <t>% error</t>
  </si>
  <si>
    <t>g_quad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</si>
</sst>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0"/>
    <numFmt numFmtId="166" formatCode="0.000"/>
    <numFmt numFmtId="167" formatCode="0.0000000"/>
    <numFmt numFmtId="168" formatCode="0.000000"/>
  </numFmts>
  <fonts count="7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  <font>
      <b/>
      <sz val="12"/>
      <color theme="1"/>
      <name val="IBM Plex Mono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7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  <xf numFmtId="0" fontId="6" fillId="2" borderId="1" xfId="0" applyFont="1" applyFill="1" applyBorder="1"/>
    <xf numFmtId="166" fontId="6" fillId="2" borderId="1" xfId="0" applyNumberFormat="1" applyFont="1" applyFill="1" applyBorder="1"/>
    <xf numFmtId="168" fontId="3" fillId="2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A10" zoomScale="120" zoomScaleNormal="120" workbookViewId="0">
      <selection activeCell="V85" sqref="V85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179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f>C63</f>
        <v>1</v>
      </c>
      <c r="P48" s="8" t="s">
        <v>122</v>
      </c>
      <c r="R48" s="8" t="s">
        <v>119</v>
      </c>
      <c r="S48" s="14">
        <f>C64</f>
        <v>1.25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0.92018479166111145</v>
      </c>
      <c r="O49" s="8" t="s">
        <v>114</v>
      </c>
      <c r="R49" s="8" t="s">
        <v>120</v>
      </c>
      <c r="S49" s="22">
        <f>SQRT(S48^3/$N$46)</f>
        <v>1.2859973412598293</v>
      </c>
      <c r="T49" s="8" t="s">
        <v>114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2.924017738212866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0.42749398666917432</v>
      </c>
      <c r="AC50" s="14"/>
      <c r="AD50" s="14"/>
      <c r="AE50" s="14"/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2.5198420997897459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0.49606282874006236</v>
      </c>
      <c r="AE51" s="14"/>
    </row>
    <row r="52" spans="2:31">
      <c r="B52" s="19">
        <v>8</v>
      </c>
      <c r="C52" s="12">
        <v>2.1440000000000001</v>
      </c>
      <c r="D52" s="13" t="str">
        <f t="shared" ref="D52" si="10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2.0800838230519041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0.60093732096142027</v>
      </c>
      <c r="AE52" s="14"/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1.8420157493201932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0.6786044041487268</v>
      </c>
      <c r="AE53" s="14"/>
    </row>
    <row r="54" spans="2:31">
      <c r="B54" s="19">
        <v>9</v>
      </c>
      <c r="C54" s="12">
        <v>4.4660000000000002</v>
      </c>
      <c r="D54" s="13" t="str">
        <f t="shared" ref="D54" si="11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1.5874010519681994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0.78745065618429577</v>
      </c>
      <c r="AE54" s="14"/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1.4059085320703328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0.8891047827693721</v>
      </c>
      <c r="AE55" s="14"/>
    </row>
    <row r="56" spans="2:31">
      <c r="B56" s="19">
        <v>10</v>
      </c>
      <c r="C56" s="12">
        <v>9.4440000000000008</v>
      </c>
      <c r="D56" s="13" t="str">
        <f t="shared" ref="D56:D57" si="12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1.3103706971044482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0.95392853546111001</v>
      </c>
      <c r="AE56" s="14"/>
    </row>
    <row r="57" spans="2:31">
      <c r="B57" s="19">
        <v>11</v>
      </c>
      <c r="C57" s="12">
        <v>19.073</v>
      </c>
      <c r="D57" s="13" t="str">
        <f t="shared" si="12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1.2112118178531373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1.0320242764932848</v>
      </c>
      <c r="AE57" s="14"/>
    </row>
    <row r="58" spans="2:31">
      <c r="H58" s="8">
        <v>5</v>
      </c>
      <c r="I58" s="8">
        <v>1.5273505155716258</v>
      </c>
      <c r="J58" s="8">
        <v>1.7369332341754145</v>
      </c>
    </row>
    <row r="59" spans="2:31">
      <c r="B59" s="8" t="s">
        <v>163</v>
      </c>
      <c r="C59" s="12">
        <f>333000*C60</f>
        <v>393273</v>
      </c>
    </row>
    <row r="60" spans="2:31">
      <c r="B60" s="8" t="s">
        <v>180</v>
      </c>
      <c r="C60" s="8">
        <v>1.181</v>
      </c>
      <c r="M60" s="8" cm="1">
        <f t="array" ref="M60:M75">_xlfn.VSTACK(P50:P57,U50:U57)</f>
        <v>2.924017738212866</v>
      </c>
      <c r="N60" s="8" cm="1">
        <f t="array" ref="N60:N75">_xlfn.SEQUENCE(COUNTA(O60:O75))</f>
        <v>1</v>
      </c>
      <c r="O60" s="21" cm="1">
        <f t="array" ref="O60:O75">_xlfn._xlws.SORT(_xlfn.ANCHORARRAY(M60))</f>
        <v>0.42749398666917432</v>
      </c>
    </row>
    <row r="61" spans="2:31">
      <c r="B61" s="8" t="s">
        <v>159</v>
      </c>
      <c r="C61" s="8">
        <v>20</v>
      </c>
      <c r="M61" s="8">
        <v>2.5198420997897459</v>
      </c>
      <c r="N61" s="8">
        <v>2</v>
      </c>
      <c r="O61" s="21">
        <v>0.49606282874006236</v>
      </c>
      <c r="P61" s="8">
        <f t="shared" ref="P61:P75" si="13">O61/O60</f>
        <v>1.1603972084031946</v>
      </c>
      <c r="Q61" s="8" t="str">
        <f>"ratio "&amp;_xlfn.TEXTJOIN(" / ",,N61,N60)</f>
        <v>ratio 2 / 1</v>
      </c>
      <c r="R61" s="12">
        <f>O61-O60</f>
        <v>6.8568842070888036E-2</v>
      </c>
      <c r="S61" s="8" t="str">
        <f>"difference  "&amp;_xlfn.TEXTJOIN(" - ",,N61,N60)</f>
        <v>difference  2 - 1</v>
      </c>
      <c r="T61" s="12">
        <f>AVERAGE(O60:O61)</f>
        <v>0.46177840770461831</v>
      </c>
      <c r="U61" s="8" t="str">
        <f>"average  "&amp;_xlfn.TEXTJOIN(", ",,TEXT(O61,"0.###"),TEXT(O60,"0.###"))</f>
        <v>average  0.496, 0.427</v>
      </c>
      <c r="W61" s="8" t="b">
        <f>AND(T61&gt;$C$77,T61&lt;$C$78)</f>
        <v>0</v>
      </c>
    </row>
    <row r="62" spans="2:31">
      <c r="B62" s="8" t="s">
        <v>160</v>
      </c>
      <c r="C62" s="8">
        <v>5</v>
      </c>
      <c r="M62" s="8">
        <v>2.0800838230519041</v>
      </c>
      <c r="N62" s="8">
        <v>3</v>
      </c>
      <c r="O62" s="21">
        <v>0.60093732096142027</v>
      </c>
      <c r="P62" s="8">
        <f t="shared" si="13"/>
        <v>1.2114137285547599</v>
      </c>
      <c r="Q62" s="8" t="str">
        <f t="shared" ref="Q62:Q75" si="14">"ratio "&amp;_xlfn.TEXTJOIN(" / ",,N62,N61)</f>
        <v>ratio 3 / 2</v>
      </c>
    </row>
    <row r="63" spans="2:31">
      <c r="B63" s="8" t="s">
        <v>113</v>
      </c>
      <c r="C63" s="8">
        <v>1</v>
      </c>
      <c r="M63" s="8">
        <v>1.8420157493201932</v>
      </c>
      <c r="N63" s="8">
        <v>4</v>
      </c>
      <c r="O63" s="21">
        <v>0.6786044041487268</v>
      </c>
      <c r="P63" s="8">
        <f t="shared" si="13"/>
        <v>1.1292432346572343</v>
      </c>
      <c r="Q63" s="8" t="str">
        <f t="shared" si="14"/>
        <v>ratio 4 / 3</v>
      </c>
      <c r="R63" s="12">
        <f>O63-O62</f>
        <v>7.7667083187306529E-2</v>
      </c>
      <c r="S63" s="8" t="str">
        <f>"difference  "&amp;_xlfn.TEXTJOIN(" - ",,N63,N62)</f>
        <v>difference  4 - 3</v>
      </c>
      <c r="T63" s="12">
        <f>AVERAGE(O62:O63)</f>
        <v>0.63977086255507354</v>
      </c>
      <c r="U63" s="8" t="str">
        <f>"average  "&amp;_xlfn.TEXTJOIN(", ",,TEXT(O64,"0.###"),TEXT(O63,"0.###"))</f>
        <v>average  0.787, 0.679</v>
      </c>
      <c r="W63" s="8" t="b">
        <f>AND(T63&gt;$C$77,T63&lt;$C$78)</f>
        <v>0</v>
      </c>
    </row>
    <row r="64" spans="2:31">
      <c r="B64" s="8" t="s">
        <v>119</v>
      </c>
      <c r="C64" s="8">
        <v>1.25</v>
      </c>
      <c r="M64" s="8">
        <v>1.5874010519681994</v>
      </c>
      <c r="N64" s="8">
        <v>5</v>
      </c>
      <c r="O64" s="21">
        <v>0.78745065618429577</v>
      </c>
      <c r="P64" s="8">
        <f t="shared" si="13"/>
        <v>1.1603972084031946</v>
      </c>
      <c r="Q64" s="8" t="str">
        <f t="shared" si="14"/>
        <v>ratio 5 / 4</v>
      </c>
      <c r="R64" s="12"/>
    </row>
    <row r="65" spans="2:23">
      <c r="B65" s="8" t="s">
        <v>126</v>
      </c>
      <c r="C65" s="8">
        <f>AVERAGE(C63:C64)</f>
        <v>1.125</v>
      </c>
      <c r="M65" s="8">
        <v>1.4059085320703328</v>
      </c>
      <c r="N65" s="8">
        <v>6</v>
      </c>
      <c r="O65" s="21">
        <v>0.8891047827693721</v>
      </c>
      <c r="P65" s="8">
        <f t="shared" si="13"/>
        <v>1.129092693982447</v>
      </c>
      <c r="Q65" s="8" t="str">
        <f t="shared" si="14"/>
        <v>ratio 6 / 5</v>
      </c>
      <c r="R65" s="12">
        <f>O65-O64</f>
        <v>0.10165412658507633</v>
      </c>
      <c r="S65" s="8" t="str">
        <f>"difference  "&amp;_xlfn.TEXTJOIN(" - ",,N65,N64)</f>
        <v>difference  6 - 5</v>
      </c>
      <c r="T65" s="12">
        <f>AVERAGE(O64:O65)</f>
        <v>0.83827771947683394</v>
      </c>
      <c r="U65" s="8" t="str">
        <f>"average  "&amp;_xlfn.TEXTJOIN(", ",,TEXT(O66,"0.###"),TEXT(O65,"0.###"))</f>
        <v>average  0.954, 0.889</v>
      </c>
      <c r="W65" s="8" t="b">
        <f>AND(T65&gt;$C$77,T65&lt;$C$78)</f>
        <v>0</v>
      </c>
    </row>
    <row r="66" spans="2:23">
      <c r="B66" s="8" t="s">
        <v>158</v>
      </c>
      <c r="C66" s="8">
        <f>ABS((C64-C63))/2</f>
        <v>0.125</v>
      </c>
      <c r="M66" s="8">
        <v>1.3103706971044482</v>
      </c>
      <c r="N66" s="8">
        <v>7</v>
      </c>
      <c r="O66" s="21">
        <v>0.95392853546111001</v>
      </c>
      <c r="P66" s="8">
        <f t="shared" si="13"/>
        <v>1.0729090135921051</v>
      </c>
      <c r="Q66" s="8" t="str">
        <f t="shared" si="14"/>
        <v>ratio 7 / 6</v>
      </c>
      <c r="R66" s="12"/>
    </row>
    <row r="67" spans="2:23">
      <c r="B67" s="8" t="s">
        <v>161</v>
      </c>
      <c r="C67" s="8">
        <f>C65+C66*((C61-C62)/(C61+C62))</f>
        <v>1.2</v>
      </c>
      <c r="M67" s="8">
        <v>1.2112118178531373</v>
      </c>
      <c r="N67" s="8">
        <v>8</v>
      </c>
      <c r="O67" s="21">
        <v>1.0320242764932848</v>
      </c>
      <c r="P67" s="8">
        <f t="shared" si="13"/>
        <v>1.0818674964937753</v>
      </c>
      <c r="Q67" s="8" t="str">
        <f t="shared" si="14"/>
        <v>ratio 8 / 7</v>
      </c>
      <c r="R67" s="12">
        <f>O67-O66</f>
        <v>7.8095741032174759E-2</v>
      </c>
      <c r="S67" s="8" t="str">
        <f>"difference  "&amp;_xlfn.TEXTJOIN(" - ",,N67,N66)</f>
        <v>difference  8 - 7</v>
      </c>
      <c r="T67" s="12">
        <f>AVERAGE(O66:O67)</f>
        <v>0.99297640597719738</v>
      </c>
      <c r="U67" s="8" t="str">
        <f>"average  "&amp;_xlfn.TEXTJOIN(", ",,TEXT(O68,"0.###"),TEXT(O67,"0.###"))</f>
        <v>average  1.211, 1.032</v>
      </c>
      <c r="W67" s="8" t="b">
        <f>AND(T67&gt;$C$77,T67&lt;$C$78)</f>
        <v>0</v>
      </c>
    </row>
    <row r="68" spans="2:23">
      <c r="B68" s="8" t="s">
        <v>162</v>
      </c>
      <c r="C68" s="8">
        <f>(C61+C62)/C59</f>
        <v>6.3569072883213435E-5</v>
      </c>
      <c r="M68" s="8">
        <v>0.42749398666917432</v>
      </c>
      <c r="N68" s="8">
        <v>9</v>
      </c>
      <c r="O68" s="21">
        <v>1.2112118178531373</v>
      </c>
      <c r="P68" s="8">
        <f t="shared" si="13"/>
        <v>1.1736272541656809</v>
      </c>
      <c r="Q68" s="8" t="str">
        <f t="shared" si="14"/>
        <v>ratio 9 / 8</v>
      </c>
      <c r="R68" s="12"/>
    </row>
    <row r="69" spans="2:23">
      <c r="B69" s="8" t="s">
        <v>164</v>
      </c>
      <c r="C69" s="8">
        <f>C64-C63</f>
        <v>0.25</v>
      </c>
      <c r="M69" s="8">
        <v>0.49606282874006236</v>
      </c>
      <c r="N69" s="8">
        <v>10</v>
      </c>
      <c r="O69" s="21">
        <v>1.3103706971044482</v>
      </c>
      <c r="P69" s="8">
        <f t="shared" si="13"/>
        <v>1.0818674964937753</v>
      </c>
      <c r="Q69" s="8" t="str">
        <f t="shared" si="14"/>
        <v>ratio 10 / 9</v>
      </c>
      <c r="R69" s="12">
        <f>O69-O68</f>
        <v>9.915887925131095E-2</v>
      </c>
      <c r="S69" s="8" t="str">
        <f>"difference  "&amp;_xlfn.TEXTJOIN(" - ",,N69,N68)</f>
        <v>difference  10 - 9</v>
      </c>
      <c r="T69" s="12">
        <f>AVERAGE(O68:O69)</f>
        <v>1.2607912574787927</v>
      </c>
      <c r="U69" s="8" t="str">
        <f>"average  "&amp;_xlfn.TEXTJOIN(", ",,TEXT(O70,"0.###"),TEXT(O69,"0.###"))</f>
        <v>average  1.406, 1.31</v>
      </c>
      <c r="W69" s="8" t="b">
        <f>AND(T69&gt;$C$77,T69&lt;$C$78)</f>
        <v>0</v>
      </c>
    </row>
    <row r="70" spans="2:23">
      <c r="B70" s="8" t="s">
        <v>166</v>
      </c>
      <c r="C70" s="8">
        <v>3</v>
      </c>
      <c r="M70" s="8">
        <v>0.60093732096142027</v>
      </c>
      <c r="N70" s="8">
        <v>11</v>
      </c>
      <c r="O70" s="21">
        <v>1.4059085320703328</v>
      </c>
      <c r="P70" s="8">
        <f t="shared" si="13"/>
        <v>1.0729090135921053</v>
      </c>
      <c r="Q70" s="8" t="str">
        <f t="shared" si="14"/>
        <v>ratio 11 / 10</v>
      </c>
      <c r="R70" s="12"/>
    </row>
    <row r="71" spans="2:23">
      <c r="B71" s="8" t="s">
        <v>167</v>
      </c>
      <c r="C71" s="8" cm="1">
        <f t="array" ref="C71">1-(C70*ROOT(C68,3))</f>
        <v>0.88026993620564875</v>
      </c>
      <c r="M71" s="8">
        <v>0.6786044041487268</v>
      </c>
      <c r="N71" s="8">
        <v>12</v>
      </c>
      <c r="O71" s="21">
        <v>1.5874010519681994</v>
      </c>
      <c r="P71" s="8">
        <f t="shared" si="13"/>
        <v>1.1290926939824468</v>
      </c>
      <c r="Q71" s="8" t="str">
        <f t="shared" si="14"/>
        <v>ratio 12 / 11</v>
      </c>
      <c r="R71" s="12">
        <f>O71-O70</f>
        <v>0.18149251989786652</v>
      </c>
      <c r="S71" s="8" t="str">
        <f>"difference  "&amp;_xlfn.TEXTJOIN(" - ",,N71,N70)</f>
        <v>difference  12 - 11</v>
      </c>
      <c r="T71" s="12">
        <f>AVERAGE(O70:O71)</f>
        <v>1.4966547920192661</v>
      </c>
      <c r="U71" s="8" t="str">
        <f>"average  "&amp;_xlfn.TEXTJOIN(", ",,TEXT(O72,"0.###"),TEXT(O71,"0.###"))</f>
        <v>average  1.842, 1.587</v>
      </c>
      <c r="W71" s="8" t="b">
        <f>AND(T71&gt;$C$77,T71&lt;$C$78)</f>
        <v>0</v>
      </c>
    </row>
    <row r="72" spans="2:23">
      <c r="B72" s="8" t="s">
        <v>165</v>
      </c>
      <c r="C72" s="8">
        <f>C69*C71</f>
        <v>0.22006748405141219</v>
      </c>
      <c r="M72" s="8">
        <v>0.78745065618429577</v>
      </c>
      <c r="N72" s="8">
        <v>13</v>
      </c>
      <c r="O72" s="21">
        <v>1.8420157493201932</v>
      </c>
      <c r="P72" s="8">
        <f t="shared" si="13"/>
        <v>1.1603972084031948</v>
      </c>
      <c r="Q72" s="8" t="str">
        <f t="shared" si="14"/>
        <v>ratio 13 / 12</v>
      </c>
    </row>
    <row r="73" spans="2:23">
      <c r="B73" s="8" t="s">
        <v>170</v>
      </c>
      <c r="C73" s="8">
        <f>C61/(C61+C62)</f>
        <v>0.8</v>
      </c>
      <c r="M73" s="8">
        <v>0.8891047827693721</v>
      </c>
      <c r="N73" s="8">
        <v>14</v>
      </c>
      <c r="O73" s="21">
        <v>2.0800838230519041</v>
      </c>
      <c r="P73" s="8">
        <f t="shared" si="13"/>
        <v>1.1292432346572343</v>
      </c>
      <c r="Q73" s="8" t="str">
        <f t="shared" si="14"/>
        <v>ratio 14 / 13</v>
      </c>
      <c r="R73" s="23">
        <f>O73-O72</f>
        <v>0.23806807373171091</v>
      </c>
      <c r="S73" s="8" t="str">
        <f>"difference  "&amp;_xlfn.TEXTJOIN(" - ",,N73,N72)</f>
        <v>difference  14 - 13</v>
      </c>
      <c r="T73" s="12">
        <f>AVERAGE(O72:O73)</f>
        <v>1.9610497861860487</v>
      </c>
      <c r="U73" s="8" t="str">
        <f>"average  "&amp;_xlfn.TEXTJOIN(", ",,TEXT(O74,"0.###"),TEXT(O73,"0.###"))</f>
        <v>average  2.52, 2.08</v>
      </c>
      <c r="W73" s="8" t="b">
        <f>AND(T73&gt;$C$77,T73&lt;$C$78)</f>
        <v>0</v>
      </c>
    </row>
    <row r="74" spans="2:23">
      <c r="B74" s="8" t="s">
        <v>171</v>
      </c>
      <c r="C74" s="8">
        <f>C62/(C61+C62)</f>
        <v>0.2</v>
      </c>
      <c r="M74" s="8">
        <v>0.95392853546111001</v>
      </c>
      <c r="N74" s="8">
        <v>15</v>
      </c>
      <c r="O74" s="21">
        <v>2.5198420997897459</v>
      </c>
      <c r="P74" s="8">
        <f t="shared" si="13"/>
        <v>1.2114137285547597</v>
      </c>
      <c r="Q74" s="8" t="str">
        <f t="shared" si="14"/>
        <v>ratio 15 / 14</v>
      </c>
    </row>
    <row r="75" spans="2:23">
      <c r="B75" s="8" t="s">
        <v>172</v>
      </c>
      <c r="C75" s="8">
        <f>C72*C73</f>
        <v>0.17605398724112975</v>
      </c>
      <c r="M75" s="8">
        <v>1.0320242764932848</v>
      </c>
      <c r="N75" s="8">
        <v>16</v>
      </c>
      <c r="O75" s="21">
        <v>2.924017738212866</v>
      </c>
      <c r="P75" s="8">
        <f t="shared" si="13"/>
        <v>1.1603972084031948</v>
      </c>
      <c r="Q75" s="8" t="str">
        <f t="shared" si="14"/>
        <v>ratio 16 / 15</v>
      </c>
      <c r="R75" s="23">
        <f>O75-O74</f>
        <v>0.4041756384231201</v>
      </c>
      <c r="S75" s="8" t="str">
        <f>"difference  "&amp;_xlfn.TEXTJOIN(" - ",,N75,N74)</f>
        <v>difference  16 - 15</v>
      </c>
      <c r="T75" s="12">
        <f>AVERAGE(O74:O75)</f>
        <v>2.721929919001306</v>
      </c>
      <c r="U75" s="8" t="str">
        <f>"average  "&amp;_xlfn.TEXTJOIN(", ",,TEXT(O75,"0.###"),TEXT(O74,"0.###"))</f>
        <v>average  2.924, 2.52</v>
      </c>
      <c r="W75" s="8" t="b">
        <f>AND(T75&gt;$C$77,T75&lt;$C$78)</f>
        <v>0</v>
      </c>
    </row>
    <row r="76" spans="2:23">
      <c r="B76" s="8" t="s">
        <v>173</v>
      </c>
      <c r="C76" s="8">
        <f>C72*C74</f>
        <v>4.4013496810282438E-2</v>
      </c>
    </row>
    <row r="77" spans="2:23">
      <c r="B77" s="8" t="s">
        <v>168</v>
      </c>
      <c r="C77" s="8">
        <f>C67-C75</f>
        <v>1.0239460127588702</v>
      </c>
      <c r="D77" s="8" t="s">
        <v>174</v>
      </c>
      <c r="E77" s="8">
        <f>C77-C63</f>
        <v>2.3946012758870205E-2</v>
      </c>
      <c r="H77" s="8">
        <f>C65-C77</f>
        <v>0.10105398724112979</v>
      </c>
    </row>
    <row r="78" spans="2:23">
      <c r="B78" s="8" t="s">
        <v>169</v>
      </c>
      <c r="C78" s="8">
        <f>C67+C76</f>
        <v>1.2440134968102825</v>
      </c>
      <c r="D78" s="8" t="s">
        <v>175</v>
      </c>
      <c r="E78" s="8">
        <f>C64-C78</f>
        <v>5.9865031897174958E-3</v>
      </c>
      <c r="H78" s="8">
        <f>C78-C65</f>
        <v>0.1190134968102825</v>
      </c>
    </row>
    <row r="79" spans="2:23">
      <c r="O79" s="8" t="s">
        <v>134</v>
      </c>
    </row>
    <row r="80" spans="2:23">
      <c r="O80" s="8">
        <v>5</v>
      </c>
      <c r="Q80" s="8" t="s">
        <v>136</v>
      </c>
      <c r="R80" s="8" t="s">
        <v>136</v>
      </c>
      <c r="S80" s="8" t="s">
        <v>137</v>
      </c>
      <c r="T80" s="8" t="s">
        <v>139</v>
      </c>
      <c r="U80" s="8" t="s">
        <v>141</v>
      </c>
    </row>
    <row r="81" spans="14:22">
      <c r="O81" s="8" t="s">
        <v>135</v>
      </c>
      <c r="Q81" s="8" t="s">
        <v>134</v>
      </c>
      <c r="R81" s="8" t="s">
        <v>135</v>
      </c>
      <c r="S81" s="8" t="s">
        <v>138</v>
      </c>
      <c r="T81" s="8" t="s">
        <v>140</v>
      </c>
      <c r="U81" s="8" t="s">
        <v>140</v>
      </c>
    </row>
    <row r="82" spans="14:22">
      <c r="O82" s="8">
        <v>50</v>
      </c>
    </row>
    <row r="83" spans="14:22">
      <c r="O83" s="8" t="s">
        <v>132</v>
      </c>
      <c r="P83" s="14">
        <f>N48</f>
        <v>1</v>
      </c>
    </row>
    <row r="84" spans="14:22">
      <c r="N84" s="12"/>
      <c r="O84" s="8" t="s">
        <v>133</v>
      </c>
      <c r="P84" s="12">
        <f>C77</f>
        <v>1.0239460127588702</v>
      </c>
    </row>
    <row r="85" spans="14:22">
      <c r="O85" s="8" t="s">
        <v>127</v>
      </c>
      <c r="P85" s="12">
        <f>T65</f>
        <v>0.83827771947683394</v>
      </c>
      <c r="Q85" s="8">
        <f>P85*SQRT($O$80/C59)</f>
        <v>2.9889996200842318E-3</v>
      </c>
      <c r="R85" s="20">
        <f>Q85*SQRT($O$82/333000)</f>
        <v>3.6625937101979391E-5</v>
      </c>
      <c r="S85" s="8">
        <f>AVERAGE(Q85:R85)</f>
        <v>1.5128127785931057E-3</v>
      </c>
      <c r="T85" s="12">
        <f>P85-(S85/2)</f>
        <v>0.83752131308753741</v>
      </c>
      <c r="U85" s="12">
        <f>P85+(S85/2)</f>
        <v>0.83903412586613046</v>
      </c>
      <c r="V85" s="12" cm="1">
        <f t="array" ref="V85">STATS_PCT_CHG(Q85,S85)</f>
        <v>-0.49399999999999999</v>
      </c>
    </row>
    <row r="86" spans="14:22">
      <c r="O86" s="8" t="s">
        <v>128</v>
      </c>
      <c r="P86" s="12">
        <f>T67</f>
        <v>0.99297640597719738</v>
      </c>
      <c r="Q86" s="8">
        <f t="shared" ref="Q86:Q89" si="15">P86*SQRT($O$80/333000)</f>
        <v>3.8477054174391088E-3</v>
      </c>
      <c r="R86" s="20">
        <f>Q86*SQRT($O$82/C59)</f>
        <v>4.3385014946798233E-5</v>
      </c>
      <c r="S86" s="8">
        <f t="shared" ref="S86:S89" si="16">AVERAGE(Q86:R86)</f>
        <v>1.9455452161929534E-3</v>
      </c>
      <c r="T86" s="12">
        <f t="shared" ref="T86:T89" si="17">P86-(S86/2)</f>
        <v>0.99200363336910091</v>
      </c>
      <c r="U86" s="12">
        <f t="shared" ref="U86:U89" si="18">P86+(S86/2)</f>
        <v>0.99394917858529386</v>
      </c>
      <c r="V86" s="12" cm="1">
        <f t="array" ref="V86">STATS_PCT_CHG(Q86,S86)</f>
        <v>-0.49399999999999999</v>
      </c>
    </row>
    <row r="87" spans="14:22">
      <c r="O87" s="8" t="s">
        <v>129</v>
      </c>
      <c r="P87" s="12">
        <f>T69</f>
        <v>1.2607912574787927</v>
      </c>
      <c r="Q87" s="8">
        <f t="shared" si="15"/>
        <v>4.8854668876920108E-3</v>
      </c>
      <c r="R87" s="20">
        <f t="shared" ref="R86:R89" si="19">Q87*SQRT($O$82/333000)</f>
        <v>5.9864444859771546E-5</v>
      </c>
      <c r="S87" s="8">
        <f t="shared" si="16"/>
        <v>2.472665666275891E-3</v>
      </c>
      <c r="T87" s="12">
        <f t="shared" si="17"/>
        <v>1.2595549246456548</v>
      </c>
      <c r="U87" s="12">
        <f t="shared" si="18"/>
        <v>1.2620275903119307</v>
      </c>
      <c r="V87" s="12" cm="1">
        <f t="array" ref="V87">STATS_PCT_CHG(Q87,S87)</f>
        <v>-0.49399999999999999</v>
      </c>
    </row>
    <row r="88" spans="14:22">
      <c r="O88" s="8" t="s">
        <v>156</v>
      </c>
      <c r="P88" s="12">
        <f>T71</f>
        <v>1.4966547920192661</v>
      </c>
      <c r="Q88" s="8">
        <f t="shared" si="15"/>
        <v>5.7994195195620541E-3</v>
      </c>
      <c r="R88" s="20">
        <f t="shared" si="19"/>
        <v>7.1063633840637793E-5</v>
      </c>
      <c r="S88" s="8">
        <f t="shared" si="16"/>
        <v>2.9352415767013459E-3</v>
      </c>
      <c r="T88" s="12">
        <f t="shared" si="17"/>
        <v>1.4951871712309155</v>
      </c>
      <c r="U88" s="12">
        <f t="shared" si="18"/>
        <v>1.4981224128076167</v>
      </c>
      <c r="V88" s="12" cm="1">
        <f t="array" ref="V88">STATS_PCT_CHG(Q88,S88)</f>
        <v>-0.49399999999999999</v>
      </c>
    </row>
    <row r="89" spans="14:22">
      <c r="O89" s="8" t="s">
        <v>157</v>
      </c>
      <c r="P89" s="12">
        <f>T73</f>
        <v>1.9610497861860487</v>
      </c>
      <c r="Q89" s="8">
        <f t="shared" si="15"/>
        <v>7.5989135701066603E-3</v>
      </c>
      <c r="R89" s="20">
        <f t="shared" si="19"/>
        <v>9.3113872812824593E-5</v>
      </c>
      <c r="S89" s="8">
        <f t="shared" si="16"/>
        <v>3.8460137214597423E-3</v>
      </c>
      <c r="T89" s="12">
        <f t="shared" si="17"/>
        <v>1.9591267793253189</v>
      </c>
      <c r="U89" s="12">
        <f t="shared" si="18"/>
        <v>1.9629727930467786</v>
      </c>
      <c r="V89" s="12" cm="1">
        <f t="array" ref="V89">STATS_PCT_CHG(Q89,S89)</f>
        <v>-0.49399999999999999</v>
      </c>
    </row>
    <row r="90" spans="14:22">
      <c r="O90" s="8" t="s">
        <v>130</v>
      </c>
      <c r="P90" s="12">
        <f>C78</f>
        <v>1.2440134968102825</v>
      </c>
    </row>
    <row r="91" spans="14:22">
      <c r="O91" s="8" t="s">
        <v>131</v>
      </c>
      <c r="P91" s="14">
        <f>S48</f>
        <v>1.25</v>
      </c>
    </row>
    <row r="95" spans="14:22">
      <c r="O95" s="8" t="s">
        <v>144</v>
      </c>
      <c r="P95" s="8" t="s">
        <v>155</v>
      </c>
      <c r="Q95" s="8" t="s">
        <v>153</v>
      </c>
      <c r="R95" s="8" t="s">
        <v>154</v>
      </c>
    </row>
    <row r="96" spans="14:22">
      <c r="N96" s="8" t="s">
        <v>142</v>
      </c>
      <c r="O96" s="14">
        <f>P83</f>
        <v>1</v>
      </c>
    </row>
    <row r="97" spans="14:18">
      <c r="N97" s="8" t="s">
        <v>151</v>
      </c>
      <c r="O97" s="14">
        <f>Q97-P97</f>
        <v>2.3946012758870205E-2</v>
      </c>
      <c r="P97" s="12">
        <f>O96</f>
        <v>1</v>
      </c>
      <c r="Q97" s="12">
        <f>P84</f>
        <v>1.0239460127588702</v>
      </c>
      <c r="R97" s="12">
        <f>Q97-P97</f>
        <v>2.3946012758870205E-2</v>
      </c>
    </row>
    <row r="98" spans="14:18">
      <c r="N98" s="8" t="s">
        <v>143</v>
      </c>
      <c r="O98" s="21">
        <f t="shared" ref="O98:O109" si="20">AVERAGE(P98:Q98)</f>
        <v>0.93073366292320381</v>
      </c>
      <c r="P98" s="12">
        <f>Q97</f>
        <v>1.0239460127588702</v>
      </c>
      <c r="Q98" s="12">
        <f>T85</f>
        <v>0.83752131308753741</v>
      </c>
      <c r="R98" s="12">
        <f t="shared" ref="R98:R109" si="21">Q98-P98</f>
        <v>-0.18642469967133279</v>
      </c>
    </row>
    <row r="99" spans="14:18">
      <c r="N99" s="8" t="s">
        <v>145</v>
      </c>
      <c r="O99" s="21">
        <f t="shared" si="20"/>
        <v>0.83827771947683394</v>
      </c>
      <c r="P99" s="12" cm="1">
        <f t="array" ref="P99:Q99">T85:U85</f>
        <v>0.83752131308753741</v>
      </c>
      <c r="Q99" s="12">
        <v>0.83903412586613046</v>
      </c>
      <c r="R99" s="12">
        <f t="shared" si="21"/>
        <v>1.5128127785930534E-3</v>
      </c>
    </row>
    <row r="100" spans="14:18">
      <c r="N100" s="8" t="s">
        <v>146</v>
      </c>
      <c r="O100" s="21">
        <f t="shared" si="20"/>
        <v>0.91551887961761569</v>
      </c>
      <c r="P100" s="12">
        <f>U85</f>
        <v>0.83903412586613046</v>
      </c>
      <c r="Q100" s="12">
        <f>T86</f>
        <v>0.99200363336910091</v>
      </c>
      <c r="R100" s="12">
        <f t="shared" si="21"/>
        <v>0.15296950750297045</v>
      </c>
    </row>
    <row r="101" spans="14:18">
      <c r="N101" s="8" t="s">
        <v>147</v>
      </c>
      <c r="O101" s="21">
        <f t="shared" si="20"/>
        <v>0.99297640597719738</v>
      </c>
      <c r="P101" s="12" cm="1">
        <f t="array" ref="P101:Q101">T86:U86</f>
        <v>0.99200363336910091</v>
      </c>
      <c r="Q101" s="12">
        <v>0.99394917858529386</v>
      </c>
      <c r="R101" s="12">
        <f t="shared" si="21"/>
        <v>1.9455452161929454E-3</v>
      </c>
    </row>
    <row r="102" spans="14:18">
      <c r="N102" s="8" t="s">
        <v>148</v>
      </c>
      <c r="O102" s="21">
        <f t="shared" si="20"/>
        <v>1.1267520516154743</v>
      </c>
      <c r="P102" s="12">
        <f>Q101</f>
        <v>0.99394917858529386</v>
      </c>
      <c r="Q102" s="12">
        <f>T87</f>
        <v>1.2595549246456548</v>
      </c>
      <c r="R102" s="12">
        <f t="shared" si="21"/>
        <v>0.26560574606036091</v>
      </c>
    </row>
    <row r="103" spans="14:18">
      <c r="N103" s="8" t="s">
        <v>149</v>
      </c>
      <c r="O103" s="21">
        <f t="shared" si="20"/>
        <v>1.2607912574787927</v>
      </c>
      <c r="P103" s="12" cm="1">
        <f t="array" ref="P103:Q103">T87:U87</f>
        <v>1.2595549246456548</v>
      </c>
      <c r="Q103" s="12">
        <v>1.2620275903119307</v>
      </c>
      <c r="R103" s="12">
        <f t="shared" si="21"/>
        <v>2.4726656662759083E-3</v>
      </c>
    </row>
    <row r="104" spans="14:18">
      <c r="N104" s="8" t="s">
        <v>150</v>
      </c>
      <c r="O104" s="21">
        <f t="shared" si="20"/>
        <v>1.378607380771423</v>
      </c>
      <c r="P104" s="12">
        <f>Q103</f>
        <v>1.2620275903119307</v>
      </c>
      <c r="Q104" s="12">
        <f>T88</f>
        <v>1.4951871712309155</v>
      </c>
      <c r="R104" s="12">
        <f t="shared" si="21"/>
        <v>0.23315958091898481</v>
      </c>
    </row>
    <row r="105" spans="14:18">
      <c r="N105" s="8" t="s">
        <v>176</v>
      </c>
      <c r="O105" s="21">
        <f t="shared" si="20"/>
        <v>1.4966547920192661</v>
      </c>
      <c r="P105" s="12" cm="1">
        <f t="array" ref="P105:Q105">T88:U88</f>
        <v>1.4951871712309155</v>
      </c>
      <c r="Q105" s="12">
        <v>1.4981224128076167</v>
      </c>
      <c r="R105" s="12">
        <f t="shared" si="21"/>
        <v>2.9352415767012197E-3</v>
      </c>
    </row>
    <row r="106" spans="14:18">
      <c r="N106" s="8" t="s">
        <v>177</v>
      </c>
      <c r="O106" s="21">
        <f t="shared" si="20"/>
        <v>1.7286245960664677</v>
      </c>
      <c r="P106" s="12">
        <f>Q105</f>
        <v>1.4981224128076167</v>
      </c>
      <c r="Q106" s="12">
        <f>T89</f>
        <v>1.9591267793253189</v>
      </c>
      <c r="R106" s="12">
        <f t="shared" si="21"/>
        <v>0.46100436651770216</v>
      </c>
    </row>
    <row r="107" spans="14:18">
      <c r="N107" s="8" t="s">
        <v>178</v>
      </c>
      <c r="O107" s="21">
        <f t="shared" si="20"/>
        <v>1.9610497861860487</v>
      </c>
      <c r="P107" s="12" cm="1">
        <f t="array" ref="P107:Q107">T89:U89</f>
        <v>1.9591267793253189</v>
      </c>
      <c r="Q107" s="12">
        <v>1.9629727930467786</v>
      </c>
      <c r="R107" s="12">
        <f t="shared" si="21"/>
        <v>3.8460137214597623E-3</v>
      </c>
    </row>
    <row r="108" spans="14:18">
      <c r="N108" s="8" t="s">
        <v>177</v>
      </c>
      <c r="O108" s="21">
        <f t="shared" si="20"/>
        <v>1.6034931449285306</v>
      </c>
      <c r="P108" s="12">
        <f>Q107</f>
        <v>1.9629727930467786</v>
      </c>
      <c r="Q108" s="12">
        <f>P90</f>
        <v>1.2440134968102825</v>
      </c>
      <c r="R108" s="12">
        <f t="shared" si="21"/>
        <v>-0.71895929623649613</v>
      </c>
    </row>
    <row r="109" spans="14:18">
      <c r="N109" s="8" t="s">
        <v>152</v>
      </c>
      <c r="O109" s="21">
        <f t="shared" si="20"/>
        <v>2.8550067484051413</v>
      </c>
      <c r="P109" s="12">
        <f>Q108</f>
        <v>1.2440134968102825</v>
      </c>
      <c r="Q109" s="12">
        <f>O110</f>
        <v>4.4660000000000002</v>
      </c>
      <c r="R109" s="12">
        <f t="shared" si="21"/>
        <v>3.2219865031897177</v>
      </c>
    </row>
    <row r="110" spans="14:18">
      <c r="N110" s="8" t="s">
        <v>142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T40"/>
  <sheetViews>
    <sheetView tabSelected="1" topLeftCell="J10" zoomScale="130" zoomScaleNormal="130" workbookViewId="0">
      <selection activeCell="T16" sqref="T16:T24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1" width="12.6640625" style="8" bestFit="1" customWidth="1"/>
    <col min="12" max="12" width="15.33203125" style="8" customWidth="1"/>
    <col min="13" max="13" width="15.33203125" style="8" bestFit="1" customWidth="1"/>
    <col min="14" max="14" width="10.83203125" style="8" customWidth="1"/>
    <col min="15" max="15" width="8.83203125" style="8" bestFit="1" customWidth="1"/>
    <col min="16" max="18" width="0" style="8" hidden="1" customWidth="1"/>
    <col min="19" max="20" width="11.5" style="8" bestFit="1" customWidth="1"/>
    <col min="21" max="16384" width="10.83203125" style="8"/>
  </cols>
  <sheetData>
    <row r="2" spans="2:20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20">
      <c r="B3" s="8" t="s">
        <v>180</v>
      </c>
      <c r="C3" s="14">
        <v>1</v>
      </c>
      <c r="F3" s="12" cm="1">
        <f t="array" ref="F3:F20">_xlfn.VSTACK(E27:E35,I27:I35)</f>
        <v>4.4562030330364077</v>
      </c>
      <c r="G3" s="8" cm="1">
        <f t="array" ref="G3:G20">_xlfn.SEQUENCE(COUNTA(_xlfn.ANCHORARRAY(H3)))</f>
        <v>1</v>
      </c>
      <c r="H3" s="21" cm="1">
        <f t="array" ref="H3:H20">_xlfn._xlws.SORT(_xlfn.ANCHORARRAY(F3))</f>
        <v>1.7797429653011063</v>
      </c>
      <c r="L3" s="8" t="s">
        <v>84</v>
      </c>
      <c r="M3" s="8" t="s">
        <v>188</v>
      </c>
      <c r="N3" s="8" t="s">
        <v>189</v>
      </c>
      <c r="O3" s="8" t="s">
        <v>191</v>
      </c>
      <c r="P3" s="8" t="s">
        <v>190</v>
      </c>
    </row>
    <row r="4" spans="2:20">
      <c r="B4" s="8" t="s">
        <v>159</v>
      </c>
      <c r="C4" s="14">
        <v>0.107</v>
      </c>
      <c r="F4" s="12">
        <v>3.8402393600795737</v>
      </c>
      <c r="G4" s="8">
        <v>2</v>
      </c>
      <c r="H4" s="2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1.8128148878546435</v>
      </c>
      <c r="M4" s="12">
        <f>L4*SQRT($C$4/$C$2*$C$3)</f>
        <v>1.0275979549490279E-3</v>
      </c>
      <c r="N4" s="12">
        <f>L4*SQRT($C$5/$C$2*$C$3)</f>
        <v>5.600261272438959E-2</v>
      </c>
      <c r="O4" s="12">
        <f>L4*SQRT(($C$4+$C$5)/$C$2*$C$3)</f>
        <v>5.6012039683580338E-2</v>
      </c>
      <c r="P4" s="12">
        <f>O4/N4</f>
        <v>1.0001683307033753</v>
      </c>
    </row>
    <row r="5" spans="2:20">
      <c r="B5" s="8" t="s">
        <v>160</v>
      </c>
      <c r="C5" s="14">
        <v>317.8</v>
      </c>
      <c r="F5" s="12">
        <v>3.1700477463311016</v>
      </c>
      <c r="G5" s="8">
        <v>3</v>
      </c>
      <c r="H5" s="21">
        <v>1.9970049423871796</v>
      </c>
      <c r="K5" s="8" t="str">
        <v>Gap 2</v>
      </c>
      <c r="L5" s="14">
        <v>2.0311068554989036</v>
      </c>
      <c r="M5" s="12">
        <f t="shared" ref="M5:M12" si="0">L5*SQRT($C$4/$C$2*$C$3)</f>
        <v>1.1513372186961975E-3</v>
      </c>
      <c r="N5" s="12">
        <f t="shared" ref="N5:N12" si="1">L5*SQRT($C$5/$C$2*$C$3)</f>
        <v>6.2746224886188376E-2</v>
      </c>
      <c r="O5" s="12">
        <f t="shared" ref="O5:O12" si="2">L5*SQRT(($C$4+$C$5)/$C$2*$C$3)</f>
        <v>6.2756787002357609E-2</v>
      </c>
      <c r="P5" s="12">
        <f t="shared" ref="P5:P12" si="3">O5/N5</f>
        <v>1.0001683307033753</v>
      </c>
    </row>
    <row r="6" spans="2:20">
      <c r="B6" s="24" t="s">
        <v>195</v>
      </c>
      <c r="C6" s="25">
        <v>1.524</v>
      </c>
      <c r="D6" s="25">
        <f>SQRT(C6^3/C3)</f>
        <v>1.881384018216377</v>
      </c>
      <c r="F6" s="12">
        <v>2.8072320019639747</v>
      </c>
      <c r="G6" s="8">
        <v>4</v>
      </c>
      <c r="H6" s="2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Gap 3</v>
      </c>
      <c r="L6" s="14">
        <v>2.2809019030373618</v>
      </c>
      <c r="M6" s="12">
        <f t="shared" si="0"/>
        <v>1.2929340699393437E-3</v>
      </c>
      <c r="N6" s="12">
        <f t="shared" si="1"/>
        <v>7.0463049919726198E-2</v>
      </c>
      <c r="O6" s="12">
        <f t="shared" si="2"/>
        <v>7.0474911014481154E-2</v>
      </c>
      <c r="P6" s="12">
        <f t="shared" si="3"/>
        <v>1.0001683307033753</v>
      </c>
    </row>
    <row r="7" spans="2:20">
      <c r="B7" s="24" t="s">
        <v>196</v>
      </c>
      <c r="C7" s="25">
        <v>5.2039999999999997</v>
      </c>
      <c r="D7" s="25">
        <f>SQRT(C7^3/C3)</f>
        <v>11.871509156969049</v>
      </c>
      <c r="F7" s="12">
        <v>2.6810371006552711</v>
      </c>
      <c r="G7" s="8">
        <v>5</v>
      </c>
      <c r="H7" s="21">
        <v>2.1426046028751875</v>
      </c>
      <c r="K7" s="8" t="str">
        <v>Gap 4</v>
      </c>
      <c r="L7" s="14">
        <v>2.5914296776409276</v>
      </c>
      <c r="M7" s="12">
        <f t="shared" si="0"/>
        <v>1.4689573960248493E-3</v>
      </c>
      <c r="N7" s="12">
        <f t="shared" si="1"/>
        <v>8.0056068389400437E-2</v>
      </c>
      <c r="O7" s="12">
        <f t="shared" si="2"/>
        <v>8.0069544283701888E-2</v>
      </c>
      <c r="P7" s="12">
        <f t="shared" si="3"/>
        <v>1.0001683307033753</v>
      </c>
    </row>
    <row r="8" spans="2:20">
      <c r="B8" s="8" t="s">
        <v>126</v>
      </c>
      <c r="C8" s="14">
        <f>AVERAGE(C6:C7)</f>
        <v>3.3639999999999999</v>
      </c>
      <c r="F8" s="12">
        <v>2.4191992031995362</v>
      </c>
      <c r="G8" s="8">
        <v>6</v>
      </c>
      <c r="H8" s="21">
        <v>2.4191992031995362</v>
      </c>
      <c r="I8" s="12">
        <f>AVERAGE(H7:H8)</f>
        <v>2.2809019030373618</v>
      </c>
      <c r="J8" s="8" t="b">
        <f>AND(I8&gt;$C$20,I8&lt;$C$21)</f>
        <v>1</v>
      </c>
      <c r="K8" s="8" t="str">
        <v>Gap 5</v>
      </c>
      <c r="L8" s="14">
        <v>2.8161989286579767</v>
      </c>
      <c r="M8" s="12">
        <f t="shared" si="0"/>
        <v>1.5963683215572881E-3</v>
      </c>
      <c r="N8" s="12">
        <f t="shared" si="1"/>
        <v>8.6999780845312388E-2</v>
      </c>
      <c r="O8" s="12">
        <f t="shared" si="2"/>
        <v>8.701442557961557E-2</v>
      </c>
      <c r="P8" s="12">
        <f t="shared" si="3"/>
        <v>1.0001683307033753</v>
      </c>
    </row>
    <row r="9" spans="2:20">
      <c r="B9" s="8" t="s">
        <v>158</v>
      </c>
      <c r="C9" s="14">
        <f>ABS((C7-C6))/2</f>
        <v>1.8399999999999999</v>
      </c>
      <c r="F9" s="12">
        <v>2.1426046028751875</v>
      </c>
      <c r="G9" s="8">
        <v>7</v>
      </c>
      <c r="H9" s="21">
        <v>2.501822254626584</v>
      </c>
      <c r="K9" s="8" t="str">
        <v>Gap 6</v>
      </c>
      <c r="L9" s="14">
        <v>3.0640962810150381</v>
      </c>
      <c r="M9" s="12">
        <f t="shared" si="0"/>
        <v>1.7368894602714912E-3</v>
      </c>
      <c r="N9" s="12">
        <f t="shared" si="1"/>
        <v>9.4657981090944546E-2</v>
      </c>
      <c r="O9" s="12">
        <f t="shared" si="2"/>
        <v>9.4673914935481662E-2</v>
      </c>
      <c r="P9" s="12">
        <f t="shared" si="3"/>
        <v>1.0001683307033753</v>
      </c>
    </row>
    <row r="10" spans="2:20">
      <c r="B10" s="8" t="s">
        <v>161</v>
      </c>
      <c r="C10" s="14">
        <f>C8+C9*((C4-C5)/(C4+C5))</f>
        <v>1.5252386012261452</v>
      </c>
      <c r="F10" s="12">
        <v>1.9970049423871796</v>
      </c>
      <c r="G10" s="8">
        <v>8</v>
      </c>
      <c r="H10" s="21">
        <v>2.6810371006552711</v>
      </c>
      <c r="I10" s="12">
        <f>AVERAGE(H9:H10)</f>
        <v>2.5914296776409276</v>
      </c>
      <c r="J10" s="8" t="b">
        <f>AND(I10&gt;$C$20,I10&lt;$C$21)</f>
        <v>1</v>
      </c>
      <c r="K10" s="8" t="str">
        <v>Gap 7</v>
      </c>
      <c r="L10" s="14">
        <v>3.4899178017259542</v>
      </c>
      <c r="M10" s="12">
        <f t="shared" si="0"/>
        <v>1.9782672902901228E-3</v>
      </c>
      <c r="N10" s="12">
        <f t="shared" si="1"/>
        <v>0.10781272616384369</v>
      </c>
      <c r="O10" s="12">
        <f t="shared" si="2"/>
        <v>0.10783087435587164</v>
      </c>
      <c r="P10" s="12">
        <f t="shared" si="3"/>
        <v>1.0001683307033753</v>
      </c>
    </row>
    <row r="11" spans="2:20">
      <c r="B11" s="8" t="s">
        <v>162</v>
      </c>
      <c r="C11" s="14">
        <f>(C4+C5)/C2</f>
        <v>9.5467567567567577E-4</v>
      </c>
      <c r="F11" s="12">
        <v>1.8458868104081809</v>
      </c>
      <c r="G11" s="8">
        <v>9</v>
      </c>
      <c r="H11" s="21">
        <v>2.8072320019639747</v>
      </c>
      <c r="K11" s="8" t="str">
        <v>Gap 8</v>
      </c>
      <c r="L11" s="14">
        <v>3.9058173194556325</v>
      </c>
      <c r="M11" s="12">
        <f t="shared" si="0"/>
        <v>2.2140208119246895E-3</v>
      </c>
      <c r="N11" s="12">
        <f t="shared" si="1"/>
        <v>0.12066095450735624</v>
      </c>
      <c r="O11" s="12">
        <f t="shared" si="2"/>
        <v>0.12068126545069839</v>
      </c>
      <c r="P11" s="12">
        <f t="shared" si="3"/>
        <v>1.0001683307033753</v>
      </c>
    </row>
    <row r="12" spans="2:20">
      <c r="B12" s="8" t="s">
        <v>164</v>
      </c>
      <c r="C12" s="14">
        <f>C7-C6</f>
        <v>3.6799999999999997</v>
      </c>
      <c r="F12" s="12">
        <v>1.7797429653011063</v>
      </c>
      <c r="G12" s="8">
        <v>10</v>
      </c>
      <c r="H12" s="21">
        <v>2.8251658553519787</v>
      </c>
      <c r="I12" s="12">
        <f>AVERAGE(H11:H12)</f>
        <v>2.8161989286579767</v>
      </c>
      <c r="J12" s="8" t="b">
        <f>AND(I12&gt;$C$20,I12&lt;$C$21)</f>
        <v>1</v>
      </c>
      <c r="K12" s="8" t="str">
        <v>Gap 9</v>
      </c>
      <c r="L12" s="14">
        <v>4.3763632504666248</v>
      </c>
      <c r="M12" s="12">
        <f t="shared" si="0"/>
        <v>2.4807507685551278E-3</v>
      </c>
      <c r="N12" s="12">
        <f t="shared" si="1"/>
        <v>0.13519735407026567</v>
      </c>
      <c r="O12" s="12">
        <f t="shared" si="2"/>
        <v>0.1352201119359708</v>
      </c>
      <c r="P12" s="12">
        <f t="shared" si="3"/>
        <v>1.0001683307033753</v>
      </c>
    </row>
    <row r="13" spans="2:20">
      <c r="B13" s="8" t="s">
        <v>166</v>
      </c>
      <c r="C13" s="14">
        <v>2</v>
      </c>
      <c r="F13" s="12">
        <v>2.0652087686106273</v>
      </c>
      <c r="G13" s="8">
        <v>11</v>
      </c>
      <c r="H13" s="21">
        <v>2.9581448156989745</v>
      </c>
    </row>
    <row r="14" spans="2:20">
      <c r="B14" s="8" t="s">
        <v>167</v>
      </c>
      <c r="C14" s="14" cm="1">
        <f t="array" ref="C14">1-(C13*ROOT(C11,3))</f>
        <v>0.80306845803805826</v>
      </c>
      <c r="F14" s="12">
        <v>2.501822254626584</v>
      </c>
      <c r="G14" s="8">
        <v>12</v>
      </c>
      <c r="H14" s="21">
        <v>3.1700477463311016</v>
      </c>
      <c r="I14" s="12">
        <f>AVERAGE(H13:H14)</f>
        <v>3.0640962810150381</v>
      </c>
      <c r="J14" s="8" t="b">
        <f>AND(I14&gt;$C$20,I14&lt;$C$21)</f>
        <v>1</v>
      </c>
    </row>
    <row r="15" spans="2:20">
      <c r="B15" s="8" t="s">
        <v>165</v>
      </c>
      <c r="C15" s="14">
        <f>C12*C14</f>
        <v>2.9552919255800543</v>
      </c>
      <c r="F15" s="12">
        <v>2.8251658553519787</v>
      </c>
      <c r="G15" s="8">
        <v>13</v>
      </c>
      <c r="H15" s="21">
        <v>3.2783145718264595</v>
      </c>
      <c r="L15" s="8" t="s">
        <v>84</v>
      </c>
      <c r="M15" s="8" t="s">
        <v>188</v>
      </c>
      <c r="N15" s="8" t="s">
        <v>189</v>
      </c>
      <c r="O15" s="8" t="s">
        <v>191</v>
      </c>
      <c r="P15" s="8" t="s">
        <v>190</v>
      </c>
      <c r="S15" s="8" t="s">
        <v>199</v>
      </c>
      <c r="T15" s="8" t="s">
        <v>198</v>
      </c>
    </row>
    <row r="16" spans="2:20">
      <c r="B16" s="8" t="s">
        <v>170</v>
      </c>
      <c r="C16" s="14">
        <f>C4/(C4+C5)</f>
        <v>3.3657642014803068E-4</v>
      </c>
      <c r="F16" s="12">
        <v>2.9581448156989745</v>
      </c>
      <c r="G16" s="8">
        <v>14</v>
      </c>
      <c r="H16" s="21">
        <v>3.701521031625449</v>
      </c>
      <c r="I16" s="12">
        <f>AVERAGE(H15:H16)</f>
        <v>3.4899178017259542</v>
      </c>
      <c r="J16" s="8" t="b">
        <f>AND(I16&gt;$C$20,I16&lt;$C$21)</f>
        <v>1</v>
      </c>
      <c r="K16" s="8" t="str" cm="1">
        <f t="array" ref="K16:K24">"Gap "&amp;_xlfn.SEQUENCE(COUNTA(_xlfn.ANCHORARRAY(L16)))</f>
        <v>Gap 1</v>
      </c>
      <c r="L16" s="14" cm="1">
        <f t="array" ref="L16:L24">_xlfn._xlws.FILTER(I27:I35,J27:J35=TRUE,"")</f>
        <v>1.7797429653011063</v>
      </c>
      <c r="M16" s="12">
        <f>L16*SQRT($C$4/$C$2*$C$3)</f>
        <v>1.0088510656720616E-3</v>
      </c>
      <c r="N16" s="12">
        <f>L16*SQRT($C$5/$C$2*$C$3)</f>
        <v>5.4980934182788134E-2</v>
      </c>
      <c r="O16" s="12">
        <f>L16*SQRT(($C$4+$C$5)/$C$2*$C$3)</f>
        <v>5.4990189162111347E-2</v>
      </c>
      <c r="P16" s="12">
        <f>O16/N16</f>
        <v>1.0001683307033751</v>
      </c>
      <c r="Q16" s="8">
        <f>N4/N16</f>
        <v>1.0185824151005658</v>
      </c>
      <c r="R16" s="8">
        <f>ABS(L16-L4)/AVERAGE(L16+L4)</f>
        <v>9.2056757066518446E-3</v>
      </c>
      <c r="S16" s="12">
        <f>SQRT(M16^2+N16^2)</f>
        <v>5.4990189162111347E-2</v>
      </c>
      <c r="T16" s="26" t="str" cm="1">
        <f t="array" ref="T16">STATS_PCT_ERR(O16,S16,1,5)</f>
        <v>0.00000%</v>
      </c>
    </row>
    <row r="17" spans="2:20">
      <c r="B17" s="8" t="s">
        <v>171</v>
      </c>
      <c r="C17" s="14">
        <f>C5/(C4+C5)</f>
        <v>0.99966342357985183</v>
      </c>
      <c r="F17" s="12">
        <v>3.2783145718264595</v>
      </c>
      <c r="G17" s="8">
        <v>15</v>
      </c>
      <c r="H17" s="21">
        <v>3.8402393600795737</v>
      </c>
      <c r="K17" s="8" t="str">
        <v>Gap 2</v>
      </c>
      <c r="L17" s="14">
        <v>2.0652087686106273</v>
      </c>
      <c r="M17" s="12">
        <f t="shared" ref="M17:M24" si="4">L17*SQRT($C$4/$C$2*$C$3)</f>
        <v>1.1706679603004481E-3</v>
      </c>
      <c r="N17" s="12">
        <f t="shared" ref="N17:N24" si="5">L17*SQRT($C$5/$C$2*$C$3)</f>
        <v>6.3799722541107121E-2</v>
      </c>
      <c r="O17" s="12">
        <f t="shared" ref="O17:O24" si="6">L17*SQRT(($C$4+$C$5)/$C$2*$C$3)</f>
        <v>6.3810461993277612E-2</v>
      </c>
      <c r="P17" s="12">
        <f t="shared" ref="P17:P24" si="7">O17/N17</f>
        <v>1.0001683307033753</v>
      </c>
      <c r="Q17" s="8">
        <f t="shared" ref="Q17:Q24" si="8">N5/N17</f>
        <v>0.9834874257605124</v>
      </c>
      <c r="R17" s="8">
        <f t="shared" ref="R17:R24" si="9">ABS(L17-L5)/AVERAGE(L17+L5)</f>
        <v>8.3250208824269742E-3</v>
      </c>
      <c r="S17" s="12">
        <f t="shared" ref="S17:S24" si="10">SQRT(M17^2+N17^2)</f>
        <v>6.3810461993277612E-2</v>
      </c>
      <c r="T17" s="26" t="str" cm="1">
        <f t="array" ref="T17">STATS_PCT_ERR(O17,S17,1,5)</f>
        <v>0.00000%</v>
      </c>
    </row>
    <row r="18" spans="2:20">
      <c r="B18" s="8" t="s">
        <v>172</v>
      </c>
      <c r="C18" s="14">
        <f>C15*C16</f>
        <v>9.9468157680411497E-4</v>
      </c>
      <c r="F18" s="12">
        <v>3.701521031625449</v>
      </c>
      <c r="G18" s="8">
        <v>16</v>
      </c>
      <c r="H18" s="21">
        <v>3.9713952788316917</v>
      </c>
      <c r="I18" s="12">
        <f>AVERAGE(H17:H18)</f>
        <v>3.9058173194556325</v>
      </c>
      <c r="J18" s="8" t="b">
        <f>AND(I18&gt;$C$20,I18&lt;$C$21)</f>
        <v>1</v>
      </c>
      <c r="K18" s="8" t="str">
        <v>Gap 3</v>
      </c>
      <c r="L18" s="14">
        <v>2.501822254626584</v>
      </c>
      <c r="M18" s="12">
        <f t="shared" si="4"/>
        <v>1.4181632386871612E-3</v>
      </c>
      <c r="N18" s="12">
        <f t="shared" si="5"/>
        <v>7.7287859764281722E-2</v>
      </c>
      <c r="O18" s="12">
        <f t="shared" si="6"/>
        <v>7.7300869684078219E-2</v>
      </c>
      <c r="P18" s="12">
        <f t="shared" si="7"/>
        <v>1.0001683307033753</v>
      </c>
      <c r="Q18" s="8">
        <f t="shared" si="8"/>
        <v>0.91169622414994622</v>
      </c>
      <c r="R18" s="8">
        <f t="shared" si="9"/>
        <v>4.619132199694486E-2</v>
      </c>
      <c r="S18" s="12">
        <f t="shared" si="10"/>
        <v>7.7300869684078205E-2</v>
      </c>
      <c r="T18" s="26" t="str" cm="1">
        <f t="array" ref="T18">STATS_PCT_ERR(O18,S18,1,5)</f>
        <v>0.00000%</v>
      </c>
    </row>
    <row r="19" spans="2:20">
      <c r="B19" s="8" t="s">
        <v>173</v>
      </c>
      <c r="C19" s="14">
        <f>C15*C17</f>
        <v>2.9542972440032496</v>
      </c>
      <c r="F19" s="12">
        <v>3.9713952788316917</v>
      </c>
      <c r="G19" s="8">
        <v>17</v>
      </c>
      <c r="H19" s="12">
        <v>4.2965234678968427</v>
      </c>
      <c r="K19" s="8" t="str">
        <v>Gap 4</v>
      </c>
      <c r="L19" s="14">
        <v>2.8251658553519787</v>
      </c>
      <c r="M19" s="12">
        <f t="shared" si="4"/>
        <v>1.6014512429270696E-3</v>
      </c>
      <c r="N19" s="12">
        <f t="shared" si="5"/>
        <v>8.7276792759952218E-2</v>
      </c>
      <c r="O19" s="12">
        <f t="shared" si="6"/>
        <v>8.7291484123865823E-2</v>
      </c>
      <c r="P19" s="12">
        <f t="shared" si="7"/>
        <v>1.0001683307033751</v>
      </c>
      <c r="Q19" s="8">
        <f t="shared" si="8"/>
        <v>0.91726638729253263</v>
      </c>
      <c r="R19" s="8">
        <f t="shared" si="9"/>
        <v>4.3151861032884188E-2</v>
      </c>
      <c r="S19" s="12">
        <f t="shared" si="10"/>
        <v>8.7291484123865837E-2</v>
      </c>
      <c r="T19" s="26" t="str" cm="1">
        <f t="array" ref="T19">STATS_PCT_ERR(O19,S19,1,5)</f>
        <v>0.00000%</v>
      </c>
    </row>
    <row r="20" spans="2:20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2">
        <v>4.2965234678968427</v>
      </c>
      <c r="G20" s="8">
        <v>18</v>
      </c>
      <c r="H20" s="12">
        <v>4.4562030330364077</v>
      </c>
      <c r="I20" s="12">
        <f>AVERAGE(H19:H20)</f>
        <v>4.3763632504666248</v>
      </c>
      <c r="J20" s="8" t="b">
        <f>AND(I20&gt;$C$20,I20&lt;$C$21)</f>
        <v>1</v>
      </c>
      <c r="K20" s="8" t="str">
        <v>Gap 5</v>
      </c>
      <c r="L20" s="14">
        <v>2.9581448156989745</v>
      </c>
      <c r="M20" s="12">
        <f t="shared" si="4"/>
        <v>1.6768306479724112E-3</v>
      </c>
      <c r="N20" s="12">
        <f t="shared" si="5"/>
        <v>9.1384862076184514E-2</v>
      </c>
      <c r="O20" s="12">
        <f t="shared" si="6"/>
        <v>9.1400244954295648E-2</v>
      </c>
      <c r="P20" s="12">
        <f t="shared" si="7"/>
        <v>1.0001683307033753</v>
      </c>
      <c r="Q20" s="8">
        <f t="shared" si="8"/>
        <v>0.95201523391022436</v>
      </c>
      <c r="R20" s="8">
        <f t="shared" si="9"/>
        <v>2.4582167831576726E-2</v>
      </c>
      <c r="S20" s="12">
        <f t="shared" si="10"/>
        <v>9.1400244954295648E-2</v>
      </c>
      <c r="T20" s="26" t="str" cm="1">
        <f t="array" ref="T20">STATS_PCT_ERR(O20,S20,1,5)</f>
        <v>0.00000%</v>
      </c>
    </row>
    <row r="21" spans="2:20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K21" s="8" t="str">
        <v>Gap 6</v>
      </c>
      <c r="L21" s="14">
        <v>3.2783145718264595</v>
      </c>
      <c r="M21" s="12">
        <f t="shared" si="4"/>
        <v>1.8583195516863975E-3</v>
      </c>
      <c r="N21" s="12">
        <f t="shared" si="5"/>
        <v>0.10127574667703269</v>
      </c>
      <c r="O21" s="12">
        <f t="shared" si="6"/>
        <v>0.10129279449470568</v>
      </c>
      <c r="P21" s="12">
        <f t="shared" si="7"/>
        <v>1.0001683307033751</v>
      </c>
      <c r="Q21" s="8">
        <f t="shared" si="8"/>
        <v>0.93465596845025356</v>
      </c>
      <c r="R21" s="8">
        <f t="shared" si="9"/>
        <v>3.3775530438153234E-2</v>
      </c>
      <c r="S21" s="12">
        <f t="shared" si="10"/>
        <v>0.10129279449470568</v>
      </c>
      <c r="T21" s="26" t="str" cm="1">
        <f t="array" ref="T21">STATS_PCT_ERR(O21,S21,1,5)</f>
        <v>0.00000%</v>
      </c>
    </row>
    <row r="22" spans="2:20">
      <c r="K22" s="8" t="str">
        <v>Gap 7</v>
      </c>
      <c r="L22" s="14">
        <v>3.701521031625449</v>
      </c>
      <c r="M22" s="12">
        <f t="shared" si="4"/>
        <v>2.0982150288938474E-3</v>
      </c>
      <c r="N22" s="12">
        <f t="shared" si="5"/>
        <v>0.11434970565065468</v>
      </c>
      <c r="O22" s="12">
        <f t="shared" si="6"/>
        <v>0.11436895421703761</v>
      </c>
      <c r="P22" s="12">
        <f t="shared" si="7"/>
        <v>1.0001683307033753</v>
      </c>
      <c r="Q22" s="8">
        <f t="shared" si="8"/>
        <v>0.94283343844555345</v>
      </c>
      <c r="R22" s="8">
        <f t="shared" si="9"/>
        <v>2.942432450626601E-2</v>
      </c>
      <c r="S22" s="12">
        <f t="shared" si="10"/>
        <v>0.11436895421703761</v>
      </c>
      <c r="T22" s="26" t="str" cm="1">
        <f t="array" ref="T22">STATS_PCT_ERR(O22,S22,1,5)</f>
        <v>0.00000%</v>
      </c>
    </row>
    <row r="23" spans="2:20">
      <c r="B23" s="8" t="s">
        <v>179</v>
      </c>
      <c r="C23" s="12">
        <v>1.181</v>
      </c>
      <c r="K23" s="8" t="str">
        <v>Gap 8</v>
      </c>
      <c r="L23" s="14">
        <v>3.9713952788316917</v>
      </c>
      <c r="M23" s="12">
        <f t="shared" si="4"/>
        <v>2.2511938169546284E-3</v>
      </c>
      <c r="N23" s="12">
        <f t="shared" si="5"/>
        <v>0.12268682989419148</v>
      </c>
      <c r="O23" s="12">
        <f t="shared" si="6"/>
        <v>0.12270748185456244</v>
      </c>
      <c r="P23" s="12">
        <f t="shared" si="7"/>
        <v>1.0001683307033751</v>
      </c>
      <c r="Q23" s="8">
        <f t="shared" si="8"/>
        <v>0.98348742576051229</v>
      </c>
      <c r="R23" s="8">
        <f t="shared" si="9"/>
        <v>8.3250208824270297E-3</v>
      </c>
      <c r="S23" s="12">
        <f t="shared" si="10"/>
        <v>0.12270748185456244</v>
      </c>
      <c r="T23" s="26" t="str" cm="1">
        <f t="array" ref="T23">STATS_PCT_ERR(O23,S23,1,5)</f>
        <v>0.00000%</v>
      </c>
    </row>
    <row r="24" spans="2:20">
      <c r="E24" s="8" t="s">
        <v>121</v>
      </c>
      <c r="I24" s="8" t="s">
        <v>123</v>
      </c>
      <c r="K24" s="8" t="str">
        <v>Gap 9</v>
      </c>
      <c r="L24" s="14">
        <v>4.2965234678968427</v>
      </c>
      <c r="M24" s="12">
        <f t="shared" si="4"/>
        <v>2.4354934188709708E-3</v>
      </c>
      <c r="N24" s="12">
        <f t="shared" si="5"/>
        <v>0.13273089351038667</v>
      </c>
      <c r="O24" s="12">
        <f t="shared" si="6"/>
        <v>0.13275323619505089</v>
      </c>
      <c r="P24" s="12">
        <f t="shared" si="7"/>
        <v>1.0001683307033753</v>
      </c>
      <c r="Q24" s="8">
        <f t="shared" si="8"/>
        <v>1.0185824151005658</v>
      </c>
      <c r="R24" s="8">
        <f t="shared" si="9"/>
        <v>9.2056757066518516E-3</v>
      </c>
      <c r="S24" s="12">
        <f t="shared" si="10"/>
        <v>0.13275323619505089</v>
      </c>
      <c r="T24" s="26" t="str" cm="1">
        <f t="array" ref="T24">STATS_PCT_ERR(O24,S24,1,5)</f>
        <v>0.00000%</v>
      </c>
    </row>
    <row r="25" spans="2:20">
      <c r="B25" s="24" t="s">
        <v>113</v>
      </c>
      <c r="C25" s="25" cm="1">
        <f t="array" ref="C25:C26">TRANSPOSE(C6:D6)</f>
        <v>1.524</v>
      </c>
      <c r="E25" s="8" t="s">
        <v>122</v>
      </c>
      <c r="F25" s="24" t="s">
        <v>119</v>
      </c>
      <c r="G25" s="25" cm="1">
        <f t="array" ref="G25:G26">TRANSPOSE(C7:D7)</f>
        <v>5.2039999999999997</v>
      </c>
      <c r="I25" s="8" t="s">
        <v>122</v>
      </c>
    </row>
    <row r="26" spans="2:20">
      <c r="B26" s="24" t="s">
        <v>115</v>
      </c>
      <c r="C26" s="25">
        <v>1.881384018216377</v>
      </c>
      <c r="D26" s="8" t="s">
        <v>114</v>
      </c>
      <c r="F26" s="24" t="s">
        <v>120</v>
      </c>
      <c r="G26" s="25">
        <v>11.871509156969049</v>
      </c>
      <c r="H26" s="8" t="s">
        <v>114</v>
      </c>
    </row>
    <row r="27" spans="2:2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4.4562030330364077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1.7797429653011063</v>
      </c>
      <c r="J27" s="8" t="b">
        <f>AND(I27&gt;$C$20,I27&lt;$C$21)</f>
        <v>1</v>
      </c>
      <c r="K27" s="8" t="str" cm="1">
        <f t="array" ref="K27:L30">B4:C7</f>
        <v>m_i</v>
      </c>
      <c r="L27" s="8">
        <v>0.107</v>
      </c>
    </row>
    <row r="28" spans="2:2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3.8402393600795737</v>
      </c>
      <c r="F28" s="8" t="s">
        <v>109</v>
      </c>
      <c r="G28" s="8" t="s">
        <v>94</v>
      </c>
      <c r="H28" s="14">
        <f t="shared" ref="H28:H35" si="11">D28</f>
        <v>4</v>
      </c>
      <c r="I28" s="14" cm="1">
        <f t="array" ref="I28">ROOT(($G$26/H28)^2*$C$3,3)</f>
        <v>2.0652087686106273</v>
      </c>
      <c r="J28" s="8" t="b">
        <f t="shared" ref="J28:J35" si="12">AND(I28&gt;$C$20,I28&lt;$C$21)</f>
        <v>1</v>
      </c>
      <c r="K28" s="8" t="str">
        <v>m_o</v>
      </c>
      <c r="L28" s="8">
        <v>317.8</v>
      </c>
    </row>
    <row r="29" spans="2:2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3.1700477463311016</v>
      </c>
      <c r="F29" s="8" t="s">
        <v>110</v>
      </c>
      <c r="G29" s="8" t="s">
        <v>92</v>
      </c>
      <c r="H29" s="14">
        <f t="shared" si="11"/>
        <v>3</v>
      </c>
      <c r="I29" s="14" cm="1">
        <f t="array" ref="I29">ROOT(($G$26/H29)^2*$C$3,3)</f>
        <v>2.501822254626584</v>
      </c>
      <c r="J29" s="8" t="b">
        <f t="shared" si="12"/>
        <v>1</v>
      </c>
      <c r="K29" s="8" t="str">
        <v>in orbit</v>
      </c>
      <c r="L29" s="8">
        <v>1.524</v>
      </c>
    </row>
    <row r="30" spans="2:2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2.8072320019639747</v>
      </c>
      <c r="F30" s="8" t="s">
        <v>111</v>
      </c>
      <c r="G30" s="8" t="s">
        <v>98</v>
      </c>
      <c r="H30" s="14">
        <f t="shared" si="11"/>
        <v>2.5</v>
      </c>
      <c r="I30" s="14" cm="1">
        <f t="array" ref="I30">ROOT(($G$26/H30)^2*$C$3,3)</f>
        <v>2.8251658553519787</v>
      </c>
      <c r="J30" s="8" t="b">
        <f t="shared" si="12"/>
        <v>1</v>
      </c>
      <c r="K30" s="8" t="str">
        <v>out orbit</v>
      </c>
      <c r="L30" s="8">
        <v>5.2039999999999997</v>
      </c>
    </row>
    <row r="31" spans="2:2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2.6810371006552711</v>
      </c>
      <c r="F31" s="8" t="s">
        <v>112</v>
      </c>
      <c r="G31" s="15" t="s">
        <v>187</v>
      </c>
      <c r="H31" s="14">
        <f t="shared" si="11"/>
        <v>2.3333333333333335</v>
      </c>
      <c r="I31" s="14" cm="1">
        <f t="array" ref="I31">ROOT(($G$26/H31)^2*$C$3,3)</f>
        <v>2.9581448156989745</v>
      </c>
      <c r="J31" s="8" t="b">
        <f t="shared" si="12"/>
        <v>1</v>
      </c>
      <c r="L31" s="8" t="s">
        <v>192</v>
      </c>
      <c r="M31" s="8" t="s">
        <v>193</v>
      </c>
      <c r="N31" s="8" t="s">
        <v>194</v>
      </c>
      <c r="O31" s="8" t="s">
        <v>197</v>
      </c>
    </row>
    <row r="32" spans="2:2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2.4191992031995362</v>
      </c>
      <c r="F32" s="8" t="s">
        <v>116</v>
      </c>
      <c r="G32" s="8" t="s">
        <v>93</v>
      </c>
      <c r="H32" s="14">
        <f t="shared" si="11"/>
        <v>2</v>
      </c>
      <c r="I32" s="14" cm="1">
        <f t="array" ref="I32">ROOT(($G$26/H32)^2*$C$3,3)</f>
        <v>3.2783145718264595</v>
      </c>
      <c r="J32" s="8" t="b">
        <f t="shared" si="12"/>
        <v>1</v>
      </c>
      <c r="K32" s="8" t="str" cm="1">
        <f t="array" ref="K32:K40">"Gap "&amp;_xlfn.SEQUENCE(COUNTA(M32:M40))</f>
        <v>Gap 1</v>
      </c>
      <c r="L32" s="12" cm="1">
        <f t="array" ref="L32:L40">_xlfn.ANCHORARRAY(L4)</f>
        <v>1.8128148878546435</v>
      </c>
      <c r="M32" s="12" cm="1">
        <f t="array" ref="M32:M40">_xlfn.ANCHORARRAY(L16)</f>
        <v>1.7797429653011063</v>
      </c>
      <c r="N32" s="8" cm="1">
        <f t="array" ref="N32">_xlfn.LET(_xlpm.diff,STATS_PCT_DIF(L32,M32,0),IFERROR(_xlpm.diff,""))</f>
        <v>1.7999999999999999E-2</v>
      </c>
      <c r="P32" s="8" t="e" cm="1">
        <f t="array" ref="P32">STATS_PCT_ERR(M32,O32)</f>
        <v>#DIV/0!</v>
      </c>
    </row>
    <row r="33" spans="2:16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2.1426046028751875</v>
      </c>
      <c r="F33" s="8" t="s">
        <v>117</v>
      </c>
      <c r="G33" s="8" t="s">
        <v>103</v>
      </c>
      <c r="H33" s="14">
        <f t="shared" si="11"/>
        <v>1.667</v>
      </c>
      <c r="I33" s="14" cm="1">
        <f t="array" ref="I33">ROOT(($G$26/H33)^2*$C$3,3)</f>
        <v>3.701521031625449</v>
      </c>
      <c r="J33" s="8" t="b">
        <f t="shared" si="12"/>
        <v>1</v>
      </c>
      <c r="K33" s="8" t="str">
        <v>Gap 2</v>
      </c>
      <c r="L33" s="12">
        <v>2.0311068554989036</v>
      </c>
      <c r="M33" s="12">
        <v>2.0652087686106273</v>
      </c>
      <c r="N33" s="8" cm="1">
        <f t="array" ref="N33">_xlfn.LET(_xlpm.diff,STATS_PCT_DIF(L33,M33,0),IFERROR(_xlpm.diff,""))</f>
        <v>1.7000000000000001E-2</v>
      </c>
      <c r="O33" s="14">
        <v>2.06</v>
      </c>
      <c r="P33" s="8" cm="1">
        <f t="array" ref="P33">STATS_PCT_ERR(M33,O33)*100</f>
        <v>0.3</v>
      </c>
    </row>
    <row r="34" spans="2:16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1.9970049423871796</v>
      </c>
      <c r="F34" s="8" t="s">
        <v>118</v>
      </c>
      <c r="G34" s="8" t="s">
        <v>96</v>
      </c>
      <c r="H34" s="14">
        <f t="shared" si="11"/>
        <v>1.5</v>
      </c>
      <c r="I34" s="14" cm="1">
        <f t="array" ref="I34">ROOT(($G$26/H34)^2*$C$3,3)</f>
        <v>3.9713952788316917</v>
      </c>
      <c r="J34" s="8" t="b">
        <f t="shared" si="12"/>
        <v>1</v>
      </c>
      <c r="K34" s="8" t="str">
        <v>Gap 3</v>
      </c>
      <c r="L34" s="12">
        <v>2.2809019030373618</v>
      </c>
      <c r="M34" s="12">
        <v>2.501822254626584</v>
      </c>
      <c r="N34" s="8" cm="1">
        <f t="array" ref="N34">_xlfn.LET(_xlpm.diff,STATS_PCT_DIF(L34,M34,0),IFERROR(_xlpm.diff,""))</f>
        <v>9.1999999999999998E-2</v>
      </c>
      <c r="O34" s="14">
        <v>2.5</v>
      </c>
      <c r="P34" s="8" cm="1">
        <f t="array" ref="P34">STATS_PCT_ERR(M34,O34)*100</f>
        <v>0.1</v>
      </c>
    </row>
    <row r="35" spans="2:16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1.8458868104081809</v>
      </c>
      <c r="F35" s="8" t="s">
        <v>186</v>
      </c>
      <c r="G35" s="8" t="s">
        <v>97</v>
      </c>
      <c r="H35" s="14">
        <f t="shared" si="11"/>
        <v>1.333</v>
      </c>
      <c r="I35" s="14" cm="1">
        <f t="array" ref="I35">ROOT(($G$26/H35)^2*$C$3,3)</f>
        <v>4.2965234678968427</v>
      </c>
      <c r="J35" s="8" t="b">
        <f t="shared" si="12"/>
        <v>1</v>
      </c>
      <c r="K35" s="8" t="str">
        <v>Gap 4</v>
      </c>
      <c r="L35" s="12">
        <v>2.5914296776409276</v>
      </c>
      <c r="M35" s="12">
        <v>2.8251658553519787</v>
      </c>
      <c r="N35" s="8" cm="1">
        <f t="array" ref="N35">_xlfn.LET(_xlpm.diff,STATS_PCT_DIF(L35,M35,0),IFERROR(_xlpm.diff,""))</f>
        <v>8.5999999999999993E-2</v>
      </c>
      <c r="O35" s="14">
        <v>2.82</v>
      </c>
      <c r="P35" s="8" cm="1">
        <f t="array" ref="P35">STATS_PCT_ERR(M35,O35)*100</f>
        <v>0.2</v>
      </c>
    </row>
    <row r="36" spans="2:16">
      <c r="K36" s="8" t="str">
        <v>Gap 5</v>
      </c>
      <c r="L36" s="12">
        <v>2.8161989286579767</v>
      </c>
      <c r="M36" s="12">
        <v>2.9581448156989745</v>
      </c>
      <c r="N36" s="8" cm="1">
        <f t="array" ref="N36">_xlfn.LET(_xlpm.diff,STATS_PCT_DIF(L36,M36,0),IFERROR(_xlpm.diff,""))</f>
        <v>4.9000000000000002E-2</v>
      </c>
      <c r="O36" s="14">
        <v>2.95</v>
      </c>
      <c r="P36" s="8" cm="1">
        <f t="array" ref="P36">STATS_PCT_ERR(M36,O36)*100</f>
        <v>0.3</v>
      </c>
    </row>
    <row r="37" spans="2:16">
      <c r="K37" s="8" t="str">
        <v>Gap 6</v>
      </c>
      <c r="L37" s="12">
        <v>3.0640962810150381</v>
      </c>
      <c r="M37" s="12">
        <v>3.2783145718264595</v>
      </c>
      <c r="N37" s="8" cm="1">
        <f t="array" ref="N37">_xlfn.LET(_xlpm.diff,STATS_PCT_DIF(L37,M37,0),IFERROR(_xlpm.diff,""))</f>
        <v>6.8000000000000005E-2</v>
      </c>
      <c r="O37" s="14">
        <v>3.27</v>
      </c>
      <c r="P37" s="8" cm="1">
        <f t="array" ref="P37">STATS_PCT_ERR(M37,O37)*100</f>
        <v>0.3</v>
      </c>
    </row>
    <row r="38" spans="2:16">
      <c r="K38" s="8" t="str">
        <v>Gap 7</v>
      </c>
      <c r="L38" s="12">
        <v>3.4899178017259542</v>
      </c>
      <c r="M38" s="12">
        <v>3.701521031625449</v>
      </c>
      <c r="N38" s="8" cm="1">
        <f t="array" ref="N38">_xlfn.LET(_xlpm.diff,STATS_PCT_DIF(L38,M38,0),IFERROR(_xlpm.diff,""))</f>
        <v>5.8999999999999997E-2</v>
      </c>
      <c r="O38" s="14">
        <v>3.7</v>
      </c>
      <c r="P38" s="8" cm="1">
        <f t="array" ref="P38">STATS_PCT_ERR(M38,O38)*100</f>
        <v>0</v>
      </c>
    </row>
    <row r="39" spans="2:16">
      <c r="K39" s="8" t="str">
        <v>Gap 8</v>
      </c>
      <c r="L39" s="12">
        <v>3.9058173194556325</v>
      </c>
      <c r="M39" s="12">
        <v>3.9713952788316917</v>
      </c>
      <c r="N39" s="8" cm="1">
        <f t="array" ref="N39">_xlfn.LET(_xlpm.diff,STATS_PCT_DIF(L39,M39,0),IFERROR(_xlpm.diff,""))</f>
        <v>1.7000000000000001E-2</v>
      </c>
      <c r="O39" s="14">
        <v>3.97</v>
      </c>
      <c r="P39" s="8" cm="1">
        <f t="array" ref="P39">STATS_PCT_ERR(M39,O39)*100</f>
        <v>0</v>
      </c>
    </row>
    <row r="40" spans="2:16">
      <c r="K40" s="8" t="str">
        <v>Gap 9</v>
      </c>
      <c r="L40" s="12">
        <v>4.3763632504666248</v>
      </c>
      <c r="M40" s="12">
        <v>4.2965234678968427</v>
      </c>
      <c r="N40" s="8" cm="1">
        <f t="array" ref="N40">_xlfn.LET(_xlpm.diff,STATS_PCT_DIF(L40,M40,0),IFERROR(_xlpm.diff,""))</f>
        <v>1.7999999999999999E-2</v>
      </c>
      <c r="O40" s="14">
        <v>4.29</v>
      </c>
      <c r="P40" s="8" cm="1">
        <f t="array" ref="P40">STATS_PCT_ERR(M40,O40)*100</f>
        <v>0.2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C824-7318-E24B-9ACF-772B2BDEB8E1}">
  <dimension ref="B2:L35"/>
  <sheetViews>
    <sheetView topLeftCell="E1" zoomScale="130" zoomScaleNormal="130" workbookViewId="0">
      <selection activeCell="C8" sqref="C8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6384" width="10.83203125" style="8"/>
  </cols>
  <sheetData>
    <row r="2" spans="2:12">
      <c r="B2" s="8" t="s">
        <v>163</v>
      </c>
      <c r="C2" s="14">
        <f>333000*C3</f>
        <v>393273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2">
      <c r="B3" s="8" t="s">
        <v>180</v>
      </c>
      <c r="C3" s="14">
        <v>1.181</v>
      </c>
      <c r="F3" s="12" cm="1">
        <f t="array" ref="F3:F20">_xlfn.VSTACK(E27:E35,I27:I35)</f>
        <v>6.269094030728386</v>
      </c>
      <c r="G3" s="8" cm="1">
        <f t="array" ref="G3:G20">_xlfn.SEQUENCE(COUNTA(_xlfn.ANCHORARRAY(H3)))</f>
        <v>1</v>
      </c>
      <c r="H3" s="21" cm="1">
        <f t="array" ref="H3:H20">_xlfn._xlws.SORT(_xlfn.ANCHORARRAY(F3))</f>
        <v>2.5968381374771261</v>
      </c>
    </row>
    <row r="4" spans="2:12">
      <c r="B4" s="8" t="s">
        <v>159</v>
      </c>
      <c r="C4" s="14">
        <v>0.107</v>
      </c>
      <c r="F4" s="12">
        <v>5.4025414619492169</v>
      </c>
      <c r="G4" s="8">
        <v>2</v>
      </c>
      <c r="H4" s="21">
        <v>2.8094347745919372</v>
      </c>
      <c r="I4" s="12">
        <f>AVERAGE(H3:H4)</f>
        <v>2.7031364560345317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2.7031364560345317</v>
      </c>
    </row>
    <row r="5" spans="2:12">
      <c r="B5" s="8" t="s">
        <v>160</v>
      </c>
      <c r="C5" s="14">
        <v>317.8</v>
      </c>
      <c r="F5" s="12">
        <v>4.4596997166232821</v>
      </c>
      <c r="G5" s="8">
        <v>3</v>
      </c>
      <c r="H5" s="21">
        <v>3.0142678927587934</v>
      </c>
      <c r="K5" s="8" t="str">
        <v>Gap 2</v>
      </c>
      <c r="L5" s="14">
        <v>3.2088278740893066</v>
      </c>
    </row>
    <row r="6" spans="2:12">
      <c r="B6" s="24" t="s">
        <v>113</v>
      </c>
      <c r="C6" s="25">
        <v>2.1440000000000001</v>
      </c>
      <c r="D6" s="25">
        <f>SQRT(C6^3/C3)</f>
        <v>2.8887650608226996</v>
      </c>
      <c r="F6" s="12">
        <v>3.9492817665424944</v>
      </c>
      <c r="G6" s="8">
        <v>4</v>
      </c>
      <c r="H6" s="21">
        <v>3.4033878554198198</v>
      </c>
      <c r="I6" s="12">
        <f>AVERAGE(H5:H6)</f>
        <v>3.2088278740893066</v>
      </c>
      <c r="J6" s="8" t="b">
        <f>AND(I6&gt;$C$20,I6&lt;$C$21)</f>
        <v>1</v>
      </c>
      <c r="K6" s="8" t="str">
        <v>Gap 3</v>
      </c>
      <c r="L6" s="14">
        <v>3.8605147493489707</v>
      </c>
    </row>
    <row r="7" spans="2:12">
      <c r="B7" s="24" t="s">
        <v>119</v>
      </c>
      <c r="C7" s="25">
        <v>19.073</v>
      </c>
      <c r="D7" s="25">
        <f>SQRT(C7^3/C3)</f>
        <v>76.648483085908964</v>
      </c>
      <c r="F7" s="12">
        <v>3.7717477321554465</v>
      </c>
      <c r="G7" s="8">
        <v>5</v>
      </c>
      <c r="H7" s="21">
        <v>3.7717477321554465</v>
      </c>
      <c r="K7" s="8" t="str">
        <v>Gap 4</v>
      </c>
      <c r="L7" s="14">
        <v>4.93112058928625</v>
      </c>
    </row>
    <row r="8" spans="2:12">
      <c r="B8" s="8" t="s">
        <v>126</v>
      </c>
      <c r="C8" s="14">
        <f>AVERAGE(C6:C7)</f>
        <v>10.608499999999999</v>
      </c>
      <c r="F8" s="12">
        <v>3.4033878554198198</v>
      </c>
      <c r="G8" s="8">
        <v>6</v>
      </c>
      <c r="H8" s="21">
        <v>3.9492817665424944</v>
      </c>
      <c r="I8" s="12">
        <f>AVERAGE(H7:H8)</f>
        <v>3.8605147493489707</v>
      </c>
      <c r="J8" s="8" t="b">
        <f>AND(I8&gt;$C$20,I8&lt;$C$21)</f>
        <v>1</v>
      </c>
      <c r="K8" s="8" t="str">
        <v>Gap 5</v>
      </c>
      <c r="L8" s="14">
        <v>6.3959841384606566</v>
      </c>
    </row>
    <row r="9" spans="2:12">
      <c r="B9" s="8" t="s">
        <v>158</v>
      </c>
      <c r="C9" s="14">
        <f>ABS((C7-C6))/2</f>
        <v>8.464500000000001</v>
      </c>
      <c r="F9" s="12">
        <v>3.0142678927587934</v>
      </c>
      <c r="G9" s="8">
        <v>7</v>
      </c>
      <c r="H9" s="21">
        <v>4.4596997166232821</v>
      </c>
      <c r="K9" s="8" t="str">
        <v>Gap 6</v>
      </c>
      <c r="L9" s="14">
        <v>8.369233542102549</v>
      </c>
    </row>
    <row r="10" spans="2:12">
      <c r="B10" s="8" t="s">
        <v>161</v>
      </c>
      <c r="C10" s="14">
        <f>C8+C9*((C4-C5)/(C4+C5))</f>
        <v>2.1496979022166851</v>
      </c>
      <c r="F10" s="12">
        <v>2.8094347745919372</v>
      </c>
      <c r="G10" s="8">
        <v>8</v>
      </c>
      <c r="H10" s="21">
        <v>5.4025414619492169</v>
      </c>
      <c r="I10" s="12">
        <f>AVERAGE(H9:H10)</f>
        <v>4.93112058928625</v>
      </c>
      <c r="J10" s="8" t="b">
        <f>AND(I10&gt;$C$20,I10&lt;$C$21)</f>
        <v>1</v>
      </c>
      <c r="K10" s="8" t="str">
        <v>Gap 7</v>
      </c>
      <c r="L10" s="14">
        <v>10.598105729146312</v>
      </c>
    </row>
    <row r="11" spans="2:12">
      <c r="B11" s="8" t="s">
        <v>162</v>
      </c>
      <c r="C11" s="14">
        <f>(C4+C5)/C2</f>
        <v>8.0836213012334956E-4</v>
      </c>
      <c r="F11" s="12">
        <v>2.5968381374771261</v>
      </c>
      <c r="G11" s="8">
        <v>9</v>
      </c>
      <c r="H11" s="21">
        <v>6.269094030728386</v>
      </c>
      <c r="K11" s="8" t="str">
        <v>Gap 8</v>
      </c>
      <c r="L11" s="14">
        <v>12.790776754865322</v>
      </c>
    </row>
    <row r="12" spans="2:12">
      <c r="B12" s="8" t="s">
        <v>164</v>
      </c>
      <c r="C12" s="14">
        <f>C7-C6</f>
        <v>16.929000000000002</v>
      </c>
      <c r="F12" s="12">
        <v>6.5228742461929272</v>
      </c>
      <c r="G12" s="8">
        <v>10</v>
      </c>
      <c r="H12" s="21">
        <v>6.5228742461929272</v>
      </c>
      <c r="I12" s="12">
        <f>AVERAGE(H11:H12)</f>
        <v>6.3959841384606566</v>
      </c>
      <c r="J12" s="8" t="b">
        <f>AND(I12&gt;$C$20,I12&lt;$C$21)</f>
        <v>1</v>
      </c>
      <c r="K12" s="8" t="str">
        <v>Gap 9</v>
      </c>
      <c r="L12" s="14">
        <v>15.151231192962467</v>
      </c>
    </row>
    <row r="13" spans="2:12">
      <c r="B13" s="8" t="s">
        <v>166</v>
      </c>
      <c r="C13" s="14">
        <v>2</v>
      </c>
      <c r="F13" s="12">
        <v>7.5691250660473655</v>
      </c>
      <c r="G13" s="8">
        <v>11</v>
      </c>
      <c r="H13" s="21">
        <v>7.5691250660473655</v>
      </c>
    </row>
    <row r="14" spans="2:12">
      <c r="B14" s="8" t="s">
        <v>167</v>
      </c>
      <c r="C14" s="14" cm="1">
        <f t="array" ref="C14">1-(C13*ROOT(C11,3))</f>
        <v>0.81369179474483777</v>
      </c>
      <c r="F14" s="12">
        <v>9.1693420181577316</v>
      </c>
      <c r="G14" s="8">
        <v>12</v>
      </c>
      <c r="H14" s="21">
        <v>9.1693420181577316</v>
      </c>
      <c r="I14" s="12">
        <f>AVERAGE(H13:H14)</f>
        <v>8.369233542102549</v>
      </c>
      <c r="J14" s="8" t="b">
        <f>AND(I14&gt;$C$20,I14&lt;$C$21)</f>
        <v>1</v>
      </c>
    </row>
    <row r="15" spans="2:12">
      <c r="B15" s="8" t="s">
        <v>165</v>
      </c>
      <c r="C15" s="14">
        <f>C12*C14</f>
        <v>13.774988393235361</v>
      </c>
      <c r="F15" s="12">
        <v>10.354417440262928</v>
      </c>
      <c r="G15" s="8">
        <v>13</v>
      </c>
      <c r="H15" s="21">
        <v>10.354417440262928</v>
      </c>
    </row>
    <row r="16" spans="2:12">
      <c r="B16" s="8" t="s">
        <v>170</v>
      </c>
      <c r="C16" s="14">
        <f>C4/(C4+C5)</f>
        <v>3.3657642014803068E-4</v>
      </c>
      <c r="F16" s="12">
        <v>10.841794018029697</v>
      </c>
      <c r="G16" s="8">
        <v>14</v>
      </c>
      <c r="H16" s="21">
        <v>10.841794018029697</v>
      </c>
      <c r="I16" s="12">
        <f>AVERAGE(H15:H16)</f>
        <v>10.598105729146312</v>
      </c>
      <c r="J16" s="8" t="b">
        <f>AND(I16&gt;$C$20,I16&lt;$C$21)</f>
        <v>1</v>
      </c>
    </row>
    <row r="17" spans="2:10">
      <c r="B17" s="8" t="s">
        <v>171</v>
      </c>
      <c r="C17" s="14">
        <f>C5/(C4+C5)</f>
        <v>0.99966342357985183</v>
      </c>
      <c r="F17" s="12">
        <v>12.015237092322455</v>
      </c>
      <c r="G17" s="8">
        <v>15</v>
      </c>
      <c r="H17" s="21">
        <v>12.015237092322455</v>
      </c>
    </row>
    <row r="18" spans="2:10">
      <c r="B18" s="8" t="s">
        <v>172</v>
      </c>
      <c r="C18" s="14">
        <f>C15*C16</f>
        <v>4.6363362809758307E-3</v>
      </c>
      <c r="F18" s="12">
        <v>13.566316417408188</v>
      </c>
      <c r="G18" s="8">
        <v>16</v>
      </c>
      <c r="H18" s="21">
        <v>13.566316417408188</v>
      </c>
      <c r="I18" s="12">
        <f>AVERAGE(H17:H18)</f>
        <v>12.790776754865322</v>
      </c>
      <c r="J18" s="8" t="b">
        <f>AND(I18&gt;$C$20,I18&lt;$C$21)</f>
        <v>1</v>
      </c>
    </row>
    <row r="19" spans="2:10">
      <c r="B19" s="8" t="s">
        <v>173</v>
      </c>
      <c r="C19" s="14">
        <f>C15*C17</f>
        <v>13.770352056954383</v>
      </c>
      <c r="F19" s="12">
        <v>14.555423165479802</v>
      </c>
      <c r="G19" s="8">
        <v>17</v>
      </c>
      <c r="H19" s="12">
        <v>14.555423165479802</v>
      </c>
    </row>
    <row r="20" spans="2:10">
      <c r="B20" s="8" t="s">
        <v>168</v>
      </c>
      <c r="C20" s="14">
        <f>C10-C18</f>
        <v>2.1450615659357091</v>
      </c>
      <c r="D20" s="8" t="s">
        <v>174</v>
      </c>
      <c r="E20" s="14">
        <f>C20-C6</f>
        <v>1.0615659357089413E-3</v>
      </c>
      <c r="F20" s="12">
        <v>15.74703922044513</v>
      </c>
      <c r="G20" s="8">
        <v>18</v>
      </c>
      <c r="H20" s="12">
        <v>15.74703922044513</v>
      </c>
      <c r="I20" s="12">
        <f>AVERAGE(H19:H20)</f>
        <v>15.151231192962467</v>
      </c>
      <c r="J20" s="8" t="b">
        <f>AND(I20&gt;$C$20,I20&lt;$C$21)</f>
        <v>1</v>
      </c>
    </row>
    <row r="21" spans="2:10">
      <c r="B21" s="8" t="s">
        <v>169</v>
      </c>
      <c r="C21" s="14">
        <f>C10+C19</f>
        <v>15.920049959171068</v>
      </c>
      <c r="D21" s="8" t="s">
        <v>175</v>
      </c>
      <c r="E21" s="14">
        <f>C7-C21</f>
        <v>3.1529500408289319</v>
      </c>
    </row>
    <row r="23" spans="2:10">
      <c r="B23" s="8" t="s">
        <v>179</v>
      </c>
      <c r="C23" s="12">
        <v>1.181</v>
      </c>
    </row>
    <row r="24" spans="2:10">
      <c r="E24" s="8" t="s">
        <v>121</v>
      </c>
      <c r="I24" s="8" t="s">
        <v>123</v>
      </c>
    </row>
    <row r="25" spans="2:10">
      <c r="B25" s="24" t="s">
        <v>113</v>
      </c>
      <c r="C25" s="25" cm="1">
        <f t="array" ref="C25:C26">TRANSPOSE(C6:D6)</f>
        <v>2.1440000000000001</v>
      </c>
      <c r="E25" s="8" t="s">
        <v>122</v>
      </c>
      <c r="F25" s="24" t="s">
        <v>119</v>
      </c>
      <c r="G25" s="25" cm="1">
        <f t="array" ref="G25:G26">TRANSPOSE(C7:D7)</f>
        <v>19.073</v>
      </c>
      <c r="I25" s="8" t="s">
        <v>122</v>
      </c>
    </row>
    <row r="26" spans="2:10">
      <c r="B26" s="24" t="s">
        <v>115</v>
      </c>
      <c r="C26" s="25">
        <v>2.8887650608226996</v>
      </c>
      <c r="D26" s="8" t="s">
        <v>114</v>
      </c>
      <c r="F26" s="24" t="s">
        <v>120</v>
      </c>
      <c r="G26" s="25">
        <v>76.648483085908964</v>
      </c>
      <c r="H26" s="8" t="s">
        <v>114</v>
      </c>
    </row>
    <row r="27" spans="2:1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6.269094030728386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6.5228742461929272</v>
      </c>
    </row>
    <row r="28" spans="2:1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5.4025414619492169</v>
      </c>
      <c r="F28" s="8" t="s">
        <v>109</v>
      </c>
      <c r="G28" s="8" t="s">
        <v>94</v>
      </c>
      <c r="H28" s="14">
        <f t="shared" ref="H28:H35" si="0">D28</f>
        <v>4</v>
      </c>
      <c r="I28" s="14" cm="1">
        <f t="array" ref="I28">ROOT(($G$26/H28)^2*$C$3,3)</f>
        <v>7.5691250660473655</v>
      </c>
    </row>
    <row r="29" spans="2:1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4.4596997166232821</v>
      </c>
      <c r="F29" s="8" t="s">
        <v>110</v>
      </c>
      <c r="G29" s="8" t="s">
        <v>92</v>
      </c>
      <c r="H29" s="14">
        <f t="shared" si="0"/>
        <v>3</v>
      </c>
      <c r="I29" s="14" cm="1">
        <f t="array" ref="I29">ROOT(($G$26/H29)^2*$C$3,3)</f>
        <v>9.1693420181577316</v>
      </c>
    </row>
    <row r="30" spans="2:1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3.9492817665424944</v>
      </c>
      <c r="F30" s="8" t="s">
        <v>111</v>
      </c>
      <c r="G30" s="8" t="s">
        <v>98</v>
      </c>
      <c r="H30" s="14">
        <f t="shared" si="0"/>
        <v>2.5</v>
      </c>
      <c r="I30" s="14" cm="1">
        <f t="array" ref="I30">ROOT(($G$26/H30)^2*$C$3,3)</f>
        <v>10.354417440262928</v>
      </c>
    </row>
    <row r="31" spans="2:1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3.7717477321554465</v>
      </c>
      <c r="F31" s="8" t="s">
        <v>112</v>
      </c>
      <c r="G31" s="15" t="s">
        <v>187</v>
      </c>
      <c r="H31" s="14">
        <f t="shared" si="0"/>
        <v>2.3333333333333335</v>
      </c>
      <c r="I31" s="14" cm="1">
        <f t="array" ref="I31">ROOT(($G$26/H31)^2*$C$3,3)</f>
        <v>10.841794018029697</v>
      </c>
    </row>
    <row r="32" spans="2:1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3.4033878554198198</v>
      </c>
      <c r="F32" s="8" t="s">
        <v>116</v>
      </c>
      <c r="G32" s="8" t="s">
        <v>93</v>
      </c>
      <c r="H32" s="14">
        <f t="shared" si="0"/>
        <v>2</v>
      </c>
      <c r="I32" s="14" cm="1">
        <f t="array" ref="I32">ROOT(($G$26/H32)^2*$C$3,3)</f>
        <v>12.015237092322455</v>
      </c>
    </row>
    <row r="33" spans="2:9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3.0142678927587934</v>
      </c>
      <c r="F33" s="8" t="s">
        <v>117</v>
      </c>
      <c r="G33" s="8" t="s">
        <v>103</v>
      </c>
      <c r="H33" s="14">
        <f t="shared" si="0"/>
        <v>1.667</v>
      </c>
      <c r="I33" s="14" cm="1">
        <f t="array" ref="I33">ROOT(($G$26/H33)^2*$C$3,3)</f>
        <v>13.566316417408188</v>
      </c>
    </row>
    <row r="34" spans="2:9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2.8094347745919372</v>
      </c>
      <c r="F34" s="8" t="s">
        <v>118</v>
      </c>
      <c r="G34" s="8" t="s">
        <v>96</v>
      </c>
      <c r="H34" s="14">
        <f t="shared" si="0"/>
        <v>1.5</v>
      </c>
      <c r="I34" s="14" cm="1">
        <f t="array" ref="I34">ROOT(($G$26/H34)^2*$C$3,3)</f>
        <v>14.555423165479802</v>
      </c>
    </row>
    <row r="35" spans="2:9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2.5968381374771261</v>
      </c>
      <c r="F35" s="8" t="s">
        <v>186</v>
      </c>
      <c r="G35" s="8" t="s">
        <v>97</v>
      </c>
      <c r="H35" s="14">
        <f t="shared" si="0"/>
        <v>1.333</v>
      </c>
      <c r="I35" s="14" cm="1">
        <f t="array" ref="I35">ROOT(($G$26/H35)^2*$C$3,3)</f>
        <v>15.74703922044513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Stele-Rosetta system</vt:lpstr>
      <vt:lpstr>Stele</vt:lpstr>
      <vt:lpstr>Sheet1</vt:lpstr>
      <vt:lpstr>Hororology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2025-09-14T03:34:50Z</dcterms:modified>
</cp:coreProperties>
</file>