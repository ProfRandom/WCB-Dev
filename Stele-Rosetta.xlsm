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2F63814E-C2D6-E141-8B16-27BEA93B7172}" xr6:coauthVersionLast="47" xr6:coauthVersionMax="47" xr10:uidLastSave="{00000000-0000-0000-0000-000000000000}"/>
  <bookViews>
    <workbookView xWindow="1480" yWindow="1100" windowWidth="33400" windowHeight="17660" tabRatio="833" activeTab="1" xr2:uid="{1F53B416-A8EA-154F-927D-A8DD520A3B1E}"/>
  </bookViews>
  <sheets>
    <sheet name="Stele-Rosetta system" sheetId="39" r:id="rId1"/>
    <sheet name="Stele" sheetId="41" r:id="rId2"/>
    <sheet name="Hororology" sheetId="40" r:id="rId3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AVERAGE(MIN(_xlpm.array), MAX(_xlpm.array))),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4" i="41" l="1"/>
  <c r="S95" i="41"/>
  <c r="S96" i="41"/>
  <c r="S97" i="41"/>
  <c r="S98" i="41"/>
  <c r="S99" i="41"/>
  <c r="S100" i="41"/>
  <c r="S101" i="41"/>
  <c r="S93" i="41"/>
  <c r="O101" i="41"/>
  <c r="R101" i="41"/>
  <c r="P101" i="41"/>
  <c r="R93" i="41"/>
  <c r="O93" i="41"/>
  <c r="Q100" i="41"/>
  <c r="P100" i="41"/>
  <c r="O100" i="41"/>
  <c r="Q99" i="41"/>
  <c r="P99" i="41"/>
  <c r="R99" i="41" s="1"/>
  <c r="O99" i="41"/>
  <c r="R95" i="41"/>
  <c r="R97" i="41"/>
  <c r="R98" i="41"/>
  <c r="Q98" i="41"/>
  <c r="P98" i="41"/>
  <c r="O95" i="41"/>
  <c r="O98" i="41"/>
  <c r="Q97" i="41"/>
  <c r="P97" i="41"/>
  <c r="O97" i="41" s="1"/>
  <c r="Q96" i="41"/>
  <c r="P96" i="41"/>
  <c r="O96" i="41" s="1"/>
  <c r="Q95" i="41"/>
  <c r="O94" i="41"/>
  <c r="R94" i="41"/>
  <c r="N84" i="41"/>
  <c r="U86" i="41"/>
  <c r="U87" i="41"/>
  <c r="U85" i="41"/>
  <c r="T86" i="41"/>
  <c r="T87" i="41"/>
  <c r="T85" i="41"/>
  <c r="S86" i="41"/>
  <c r="S87" i="41"/>
  <c r="S85" i="41"/>
  <c r="R86" i="41"/>
  <c r="R87" i="41"/>
  <c r="R85" i="41"/>
  <c r="Q86" i="41"/>
  <c r="Q87" i="41"/>
  <c r="Q85" i="41"/>
  <c r="P89" i="41"/>
  <c r="P88" i="41"/>
  <c r="P87" i="41"/>
  <c r="P86" i="41"/>
  <c r="P85" i="41"/>
  <c r="P84" i="41"/>
  <c r="P83" i="41"/>
  <c r="V50" i="41" a="1"/>
  <c r="V50" i="41" s="1"/>
  <c r="Y51" i="41"/>
  <c r="Y52" i="41"/>
  <c r="Y53" i="41"/>
  <c r="Y54" i="41"/>
  <c r="Y55" i="41"/>
  <c r="Y56" i="41"/>
  <c r="Y57" i="41"/>
  <c r="Y50" i="41"/>
  <c r="X50" i="41" a="1"/>
  <c r="X50" i="41" s="1"/>
  <c r="W50" i="41" a="1"/>
  <c r="W50" i="41" s="1"/>
  <c r="U72" i="41"/>
  <c r="U70" i="41"/>
  <c r="U68" i="41"/>
  <c r="U66" i="41"/>
  <c r="U64" i="41"/>
  <c r="T72" i="41"/>
  <c r="T70" i="41"/>
  <c r="T68" i="41"/>
  <c r="T66" i="41"/>
  <c r="T64" i="41"/>
  <c r="S66" i="41"/>
  <c r="S68" i="41"/>
  <c r="S70" i="41"/>
  <c r="S72" i="41"/>
  <c r="S64" i="41"/>
  <c r="R66" i="41"/>
  <c r="R68" i="41"/>
  <c r="R70" i="41"/>
  <c r="R72" i="41"/>
  <c r="R64" i="41"/>
  <c r="Q65" i="41"/>
  <c r="Q66" i="41"/>
  <c r="Q67" i="41"/>
  <c r="Q68" i="41"/>
  <c r="Q69" i="41"/>
  <c r="Q70" i="41"/>
  <c r="Q71" i="41"/>
  <c r="Q72" i="41"/>
  <c r="Q64" i="41"/>
  <c r="N63" i="41" a="1"/>
  <c r="N63" i="41" s="1"/>
  <c r="P65" i="41"/>
  <c r="P66" i="41"/>
  <c r="P67" i="41"/>
  <c r="P68" i="41"/>
  <c r="P69" i="41"/>
  <c r="P70" i="41"/>
  <c r="P71" i="41"/>
  <c r="P72" i="41"/>
  <c r="P64" i="41"/>
  <c r="U51" i="41" a="1"/>
  <c r="U51" i="41" s="1"/>
  <c r="U52" i="41" a="1"/>
  <c r="U52" i="41" s="1"/>
  <c r="U53" i="41" a="1"/>
  <c r="U53" i="41" s="1"/>
  <c r="U54" i="41" a="1"/>
  <c r="U54" i="41" s="1"/>
  <c r="U55" i="41" a="1"/>
  <c r="U55" i="41" s="1"/>
  <c r="U56" i="41" a="1"/>
  <c r="U56" i="41" s="1"/>
  <c r="U57" i="41" a="1"/>
  <c r="U57" i="41" s="1"/>
  <c r="U50" i="41" a="1"/>
  <c r="U50" i="41" s="1"/>
  <c r="P51" i="41" a="1"/>
  <c r="P51" i="41" s="1"/>
  <c r="P52" i="41" a="1"/>
  <c r="P52" i="41" s="1"/>
  <c r="P53" i="41" a="1"/>
  <c r="P53" i="41" s="1"/>
  <c r="P54" i="41" a="1"/>
  <c r="P54" i="41" s="1"/>
  <c r="P55" i="41" a="1"/>
  <c r="P55" i="41" s="1"/>
  <c r="P56" i="41" a="1"/>
  <c r="P56" i="41" s="1"/>
  <c r="P57" i="41" a="1"/>
  <c r="P57" i="41" s="1"/>
  <c r="P50" i="41" a="1"/>
  <c r="P50" i="41" s="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K4" i="39"/>
  <c r="K5" i="39"/>
  <c r="K6" i="39"/>
  <c r="K7" i="39"/>
  <c r="K8" i="39"/>
  <c r="K9" i="39"/>
  <c r="K10" i="39"/>
  <c r="K11" i="39"/>
  <c r="K12" i="39"/>
  <c r="K3" i="39"/>
  <c r="J4" i="39"/>
  <c r="J5" i="39"/>
  <c r="J6" i="39"/>
  <c r="J7" i="39"/>
  <c r="J8" i="39"/>
  <c r="J9" i="39"/>
  <c r="J10" i="39"/>
  <c r="J11" i="39"/>
  <c r="J12" i="39"/>
  <c r="J3" i="39"/>
  <c r="I4" i="39"/>
  <c r="I5" i="39"/>
  <c r="I6" i="39"/>
  <c r="I7" i="39"/>
  <c r="I8" i="39"/>
  <c r="I9" i="39"/>
  <c r="I10" i="39"/>
  <c r="I11" i="39"/>
  <c r="I12" i="39"/>
  <c r="I3" i="39"/>
  <c r="H3" i="39" a="1"/>
  <c r="H3" i="39" s="1"/>
  <c r="R96" i="41" l="1"/>
  <c r="R100" i="4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D27" i="40" l="1"/>
  <c r="G27" i="40" s="1"/>
  <c r="I27" i="40" s="1"/>
  <c r="J27" i="4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<sst xmlns="http://schemas.openxmlformats.org/spreadsheetml/2006/main" count="249" uniqueCount="157">
  <si>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</si>
  <si>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</si>
  <si>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</si>
  <si>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</si>
  <si>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</si>
  <si>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</si>
  <si>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</si>
  <si>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</si>
  <si>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</si>
  <si>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</si>
  <si>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</si>
  <si>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</si>
  <si>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</si>
  <si>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</si>
  <si>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</si>
  <si>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</si>
  <si>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</si>
  <si>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</si>
  <si>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</si>
  <si>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</si>
  <si>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</si>
  <si>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</si>
  <si>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</si>
  <si>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</si>
  <si>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</si>
  <si>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</si>
  <si>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</si>
  <si>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</si>
  <si>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</si>
  <si>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</si>
  <si>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</si>
  <si>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</si>
  <si>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</si>
  <si>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</si>
  <si>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</si>
  <si>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</si>
  <si>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</si>
  <si>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</si>
  <si>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</si>
  <si>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</si>
  <si>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</si>
  <si>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</si>
  <si>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</si>
  <si>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</si>
  <si>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</si>
  <si>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</si>
  <si>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</si>
  <si>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</si>
  <si>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</si>
  <si>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</si>
  <si>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</si>
  <si>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</si>
  <si>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</si>
  <si>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</si>
  <si>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</si>
  <si>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</si>
  <si>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</si>
  <si>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</si>
  <si>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</si>
  <si>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</si>
  <si>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</si>
  <si>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</si>
  <si>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</si>
  <si>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</si>
  <si>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</si>
  <si>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</si>
  <si>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</si>
  <si>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</si>
  <si>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</si>
  <si>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</si>
  <si>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</si>
  <si>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</si>
  <si>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</si>
  <si>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</si>
  <si>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</si>
  <si>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</si>
  <si>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</si>
  <si>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</si>
  <si>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</si>
  <si>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</si>
  <si>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</si>
  <si>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</si>
  <si>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</si>
  <si>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</si>
  <si>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</si>
  <si>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</si>
  <si>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</si>
  <si>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</si>
  <si>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</si>
  <si>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</si>
  <si>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</si>
  <si>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</si>
  <si>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</si>
  <si>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</si>
  <si>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</si>
  <si>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</si>
  <si>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</si>
  <si>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</si>
  <si>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</si>
  <si>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</si>
  <si>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</si>
  <si>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</si>
  <si>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</si>
  <si>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</si>
  <si>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</si>
  <si>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</si>
  <si>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</si>
  <si>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</si>
  <si>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</si>
  <si>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</si>
  <si>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</si>
  <si>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</si>
  <si>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</si>
  <si>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</si>
  <si>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</si>
  <si>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</si>
  <si>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</si>
  <si>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</si>
  <si>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</si>
  <si>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</si>
  <si>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</si>
  <si>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</si>
  <si>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</si>
  <si>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</si>
  <si>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</si>
  <si>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</si>
  <si>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</si>
  <si>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resonance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</si>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</sst>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0.000"/>
    <numFmt numFmtId="172" formatCode="0.0000000"/>
  </numFmts>
  <fonts count="6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color rgb="FFFF0000"/>
      <name val="IBM Plex Mono"/>
    </font>
    <font>
      <sz val="12"/>
      <name val="IBM Plex Mono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4" fillId="2" borderId="1" xfId="0" applyNumberFormat="1" applyFont="1" applyFill="1" applyBorder="1"/>
    <xf numFmtId="172" fontId="3" fillId="2" borderId="1" xfId="0" applyNumberFormat="1" applyFont="1" applyFill="1" applyBorder="1"/>
    <xf numFmtId="164" fontId="5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Y102"/>
  <sheetViews>
    <sheetView tabSelected="1" topLeftCell="H68" zoomScale="110" zoomScaleNormal="110" workbookViewId="0">
      <selection activeCell="S93" sqref="S93:S101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1.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10" width="14.33203125" style="8" bestFit="1" customWidth="1"/>
    <col min="11" max="11" width="15.6640625" style="8" bestFit="1" customWidth="1"/>
    <col min="12" max="12" width="7.1640625" style="8" bestFit="1" customWidth="1"/>
    <col min="13" max="13" width="15.6640625" style="8" bestFit="1" customWidth="1"/>
    <col min="14" max="14" width="13.1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6.8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v>2.1440000000000001</v>
      </c>
      <c r="P48" s="8" t="s">
        <v>122</v>
      </c>
      <c r="R48" s="8" t="s">
        <v>119</v>
      </c>
      <c r="S48" s="14">
        <v>4.4660000000000002</v>
      </c>
      <c r="U48" s="8" t="s">
        <v>122</v>
      </c>
    </row>
    <row r="49" spans="2:25">
      <c r="B49" s="18" t="s">
        <v>13</v>
      </c>
      <c r="C49" s="7">
        <v>1.304</v>
      </c>
      <c r="D49" s="16"/>
      <c r="H49" s="8" t="s">
        <v>104</v>
      </c>
      <c r="I49" s="8">
        <v>2.1440000000000001</v>
      </c>
      <c r="J49" s="8">
        <v>2.8887650608226996</v>
      </c>
      <c r="K49" s="8" t="s">
        <v>125</v>
      </c>
      <c r="M49" s="8" t="s">
        <v>115</v>
      </c>
      <c r="N49" s="8">
        <v>2.8889999999999998</v>
      </c>
      <c r="O49" s="8" t="s">
        <v>114</v>
      </c>
      <c r="R49" s="8" t="s">
        <v>120</v>
      </c>
      <c r="S49" s="8">
        <v>8.6850000000000005</v>
      </c>
      <c r="T49" s="8" t="s">
        <v>114</v>
      </c>
      <c r="V49" s="8" t="s">
        <v>127</v>
      </c>
      <c r="W49" s="8" t="s">
        <v>104</v>
      </c>
      <c r="X49" s="8" t="s">
        <v>105</v>
      </c>
      <c r="Y49" s="8" t="s">
        <v>126</v>
      </c>
    </row>
    <row r="50" spans="2:25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8">
        <v>4.4660000000000002</v>
      </c>
      <c r="J50" s="8">
        <v>8.6846661708770725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6.2694339304893543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1.5273896551160857</v>
      </c>
      <c r="V50" s="8" t="str" cm="1">
        <f t="array" ref="V50:V57">S50:S57</f>
        <v>5:1</v>
      </c>
      <c r="W50" s="14" cm="1">
        <f t="array" ref="W50:W57">P50:P57</f>
        <v>6.2694339304893543</v>
      </c>
      <c r="X50" s="14" cm="1">
        <f t="array" ref="X50:X57">U50:U57</f>
        <v>1.5273896551160857</v>
      </c>
      <c r="Y50" s="14">
        <f>AVERAGE(W50:X50)</f>
        <v>3.8984117928027198</v>
      </c>
    </row>
    <row r="51" spans="2:25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5.402834378683683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1.7723786919406241</v>
      </c>
      <c r="V51" s="8" t="str">
        <v>4:1</v>
      </c>
      <c r="W51" s="8">
        <v>5.402834378683683</v>
      </c>
      <c r="X51" s="8">
        <v>1.7723786919406241</v>
      </c>
      <c r="Y51" s="14">
        <f t="shared" ref="Y51:Y57" si="10">AVERAGE(W51:X51)</f>
        <v>3.5876065353121538</v>
      </c>
    </row>
    <row r="52" spans="2:25">
      <c r="B52" s="19">
        <v>8</v>
      </c>
      <c r="C52" s="12">
        <v>2.1440000000000001</v>
      </c>
      <c r="D52" s="13" t="str">
        <f t="shared" ref="D52" si="11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4.4599415140600804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2.1470838796147991</v>
      </c>
      <c r="V52" s="8" t="str">
        <v>3:1</v>
      </c>
      <c r="W52" s="8">
        <v>4.4599415140600804</v>
      </c>
      <c r="X52" s="8">
        <v>2.1470838796147991</v>
      </c>
      <c r="Y52" s="14">
        <f t="shared" si="10"/>
        <v>3.3035126968374398</v>
      </c>
    </row>
    <row r="53" spans="2:25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3.9494958899743446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2.4245799452966201</v>
      </c>
      <c r="V53" s="8" t="str">
        <v>5:2</v>
      </c>
      <c r="W53" s="8">
        <v>3.9494958899743446</v>
      </c>
      <c r="X53" s="8">
        <v>2.4245799452966201</v>
      </c>
      <c r="Y53" s="14">
        <f t="shared" si="10"/>
        <v>3.1870379176354824</v>
      </c>
    </row>
    <row r="54" spans="2:25">
      <c r="B54" s="19">
        <v>9</v>
      </c>
      <c r="C54" s="12">
        <v>4.4660000000000002</v>
      </c>
      <c r="D54" s="13" t="str">
        <f t="shared" ref="D54" si="12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3.4035723813996306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2.8134758000725677</v>
      </c>
      <c r="V54" s="8" t="str">
        <v>2:1</v>
      </c>
      <c r="W54" s="8">
        <v>3.4035723813996306</v>
      </c>
      <c r="X54" s="8">
        <v>2.8134758000725677</v>
      </c>
      <c r="Y54" s="14">
        <f t="shared" si="10"/>
        <v>3.1085240907360991</v>
      </c>
    </row>
    <row r="55" spans="2:25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3.0144313213070379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3.1766749705583561</v>
      </c>
      <c r="V55" s="8" t="str">
        <v>5:3</v>
      </c>
      <c r="W55" s="8">
        <v>3.0144313213070379</v>
      </c>
      <c r="X55" s="8">
        <v>3.1766749705583561</v>
      </c>
      <c r="Y55" s="14">
        <f t="shared" si="10"/>
        <v>3.0955531459326968</v>
      </c>
    </row>
    <row r="56" spans="2:25">
      <c r="B56" s="19">
        <v>10</v>
      </c>
      <c r="C56" s="12">
        <v>9.4440000000000008</v>
      </c>
      <c r="D56" s="13" t="str">
        <f t="shared" ref="D56:D57" si="13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2.8095870974321535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3.4082832091644955</v>
      </c>
      <c r="V56" s="8" t="str">
        <v>3:2</v>
      </c>
      <c r="W56" s="8">
        <v>2.8095870974321535</v>
      </c>
      <c r="X56" s="8">
        <v>3.4082832091644955</v>
      </c>
      <c r="Y56" s="14">
        <f t="shared" si="10"/>
        <v>3.1089351532983245</v>
      </c>
    </row>
    <row r="57" spans="2:25">
      <c r="B57" s="19">
        <v>11</v>
      </c>
      <c r="C57" s="12">
        <v>19.073</v>
      </c>
      <c r="D57" s="13" t="str">
        <f t="shared" si="13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2.5969789336843414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3.6873108228405638</v>
      </c>
      <c r="V57" s="8" t="str">
        <v>4:3</v>
      </c>
      <c r="W57" s="8">
        <v>2.5969789336843414</v>
      </c>
      <c r="X57" s="8">
        <v>3.6873108228405638</v>
      </c>
      <c r="Y57" s="14">
        <f t="shared" si="10"/>
        <v>3.1421448782624526</v>
      </c>
    </row>
    <row r="58" spans="2:25">
      <c r="H58" s="8">
        <v>5</v>
      </c>
      <c r="I58" s="8">
        <v>1.5273505155716258</v>
      </c>
      <c r="J58" s="8">
        <v>1.7369332341754145</v>
      </c>
    </row>
    <row r="60" spans="2:25">
      <c r="O60" s="20">
        <v>1.5273896551160857</v>
      </c>
    </row>
    <row r="61" spans="2:25">
      <c r="O61" s="20">
        <v>1.7723786919406241</v>
      </c>
    </row>
    <row r="62" spans="2:25">
      <c r="O62" s="20">
        <v>2.1470838796147991</v>
      </c>
    </row>
    <row r="63" spans="2:25">
      <c r="N63" s="8" cm="1">
        <f t="array" ref="N63:N72">_xlfn.SEQUENCE(COUNTA(O63:O72))</f>
        <v>1</v>
      </c>
      <c r="O63" s="12">
        <v>2.4245799452966201</v>
      </c>
    </row>
    <row r="64" spans="2:25">
      <c r="N64" s="8">
        <v>2</v>
      </c>
      <c r="O64" s="12">
        <v>2.5969789336843414</v>
      </c>
      <c r="P64" s="8">
        <f>O64/O63</f>
        <v>1.0711046829873165</v>
      </c>
      <c r="Q64" s="8" t="str">
        <f>"ratio "&amp;_xlfn.TEXTJOIN(" / ",,N64,N63)</f>
        <v>ratio 2 / 1</v>
      </c>
      <c r="R64" s="12">
        <f>O64-O63</f>
        <v>0.17239898838772127</v>
      </c>
      <c r="S64" s="8" t="str">
        <f>"difference  "&amp;_xlfn.TEXTJOIN(" - ",,N64,N63)</f>
        <v>difference  2 - 1</v>
      </c>
      <c r="T64" s="12">
        <f>AVERAGE(O63:O64)</f>
        <v>2.5107794394904808</v>
      </c>
      <c r="U64" s="8" t="str">
        <f>"average  "&amp;_xlfn.TEXTJOIN(", ",,TEXT(O64,"0.###"),TEXT(O63,"0.###"))</f>
        <v>average  2.597, 2.425</v>
      </c>
    </row>
    <row r="65" spans="14:21">
      <c r="N65" s="8">
        <v>3</v>
      </c>
      <c r="O65" s="12">
        <v>2.8095870974321535</v>
      </c>
      <c r="P65" s="8">
        <f t="shared" ref="P65:P72" si="14">O65/O64</f>
        <v>1.0818674964937758</v>
      </c>
      <c r="Q65" s="8" t="str">
        <f t="shared" ref="Q65:Q72" si="15">"ratio "&amp;_xlfn.TEXTJOIN(" / ",,N65,N64)</f>
        <v>ratio 3 / 2</v>
      </c>
      <c r="R65" s="12"/>
    </row>
    <row r="66" spans="14:21">
      <c r="N66" s="8">
        <v>4</v>
      </c>
      <c r="O66" s="12">
        <v>2.8134758000725677</v>
      </c>
      <c r="P66" s="8">
        <f t="shared" si="14"/>
        <v>1.0013840833209864</v>
      </c>
      <c r="Q66" s="8" t="str">
        <f t="shared" si="15"/>
        <v>ratio 4 / 3</v>
      </c>
      <c r="R66" s="12">
        <f t="shared" ref="R65:R72" si="16">O66-O65</f>
        <v>3.8887026404141878E-3</v>
      </c>
      <c r="S66" s="8" t="str">
        <f t="shared" ref="S65:S72" si="17">"difference  "&amp;_xlfn.TEXTJOIN(" - ",,N66,N65)</f>
        <v>difference  4 - 3</v>
      </c>
      <c r="T66" s="12">
        <f>AVERAGE(O65:O66)</f>
        <v>2.8115314487523606</v>
      </c>
      <c r="U66" s="8" t="str">
        <f>"average  "&amp;_xlfn.TEXTJOIN(", ",,TEXT(O66,"0.###"),TEXT(O65,"0.###"))</f>
        <v>average  2.813, 2.81</v>
      </c>
    </row>
    <row r="67" spans="14:21">
      <c r="N67" s="8">
        <v>5</v>
      </c>
      <c r="O67" s="12">
        <v>3.0144313213070379</v>
      </c>
      <c r="P67" s="8">
        <f t="shared" si="14"/>
        <v>1.0714260706380652</v>
      </c>
      <c r="Q67" s="8" t="str">
        <f t="shared" si="15"/>
        <v>ratio 5 / 4</v>
      </c>
      <c r="R67" s="12"/>
    </row>
    <row r="68" spans="14:21">
      <c r="N68" s="8">
        <v>6</v>
      </c>
      <c r="O68" s="12">
        <v>3.1766749705583561</v>
      </c>
      <c r="P68" s="8">
        <f t="shared" si="14"/>
        <v>1.0538223074131841</v>
      </c>
      <c r="Q68" s="8" t="str">
        <f t="shared" si="15"/>
        <v>ratio 6 / 5</v>
      </c>
      <c r="R68" s="12">
        <f t="shared" si="16"/>
        <v>0.16224364925131818</v>
      </c>
      <c r="S68" s="8" t="str">
        <f t="shared" si="17"/>
        <v>difference  6 - 5</v>
      </c>
      <c r="T68" s="12">
        <f>AVERAGE(O67:O68)</f>
        <v>3.0955531459326968</v>
      </c>
      <c r="U68" s="8" t="str">
        <f>"average  "&amp;_xlfn.TEXTJOIN(", ",,TEXT(O68,"0.###"),TEXT(O67,"0.###"))</f>
        <v>average  3.177, 3.014</v>
      </c>
    </row>
    <row r="69" spans="14:21">
      <c r="N69" s="8">
        <v>7</v>
      </c>
      <c r="O69" s="12">
        <v>3.4035723813996306</v>
      </c>
      <c r="P69" s="8">
        <f t="shared" si="14"/>
        <v>1.0714260706380652</v>
      </c>
      <c r="Q69" s="8" t="str">
        <f t="shared" si="15"/>
        <v>ratio 7 / 6</v>
      </c>
      <c r="R69" s="12"/>
    </row>
    <row r="70" spans="14:21">
      <c r="N70" s="8">
        <v>8</v>
      </c>
      <c r="O70" s="12">
        <v>3.4082832091644955</v>
      </c>
      <c r="P70" s="8">
        <f t="shared" si="14"/>
        <v>1.0013840833209864</v>
      </c>
      <c r="Q70" s="8" t="str">
        <f t="shared" si="15"/>
        <v>ratio 8 / 7</v>
      </c>
      <c r="R70" s="12">
        <f t="shared" si="16"/>
        <v>4.7108277648648667E-3</v>
      </c>
      <c r="S70" s="8" t="str">
        <f t="shared" si="17"/>
        <v>difference  8 - 7</v>
      </c>
      <c r="T70" s="12">
        <f>AVERAGE(O69:O70)</f>
        <v>3.405927795282063</v>
      </c>
      <c r="U70" s="8" t="str">
        <f>"average  "&amp;_xlfn.TEXTJOIN(", ",,TEXT(O70,"0.###"),TEXT(O69,"0.###"))</f>
        <v>average  3.408, 3.404</v>
      </c>
    </row>
    <row r="71" spans="14:21">
      <c r="N71" s="8">
        <v>9</v>
      </c>
      <c r="O71" s="12">
        <v>3.6873108228405638</v>
      </c>
      <c r="P71" s="8">
        <f t="shared" si="14"/>
        <v>1.0818674964937756</v>
      </c>
      <c r="Q71" s="8" t="str">
        <f t="shared" si="15"/>
        <v>ratio 9 / 8</v>
      </c>
      <c r="R71" s="12"/>
    </row>
    <row r="72" spans="14:21">
      <c r="N72" s="8">
        <v>10</v>
      </c>
      <c r="O72" s="12">
        <v>3.9494958899743446</v>
      </c>
      <c r="P72" s="8">
        <f t="shared" si="14"/>
        <v>1.071104682987317</v>
      </c>
      <c r="Q72" s="8" t="str">
        <f t="shared" si="15"/>
        <v>ratio 10 / 9</v>
      </c>
      <c r="R72" s="12">
        <f t="shared" si="16"/>
        <v>0.26218506713378087</v>
      </c>
      <c r="S72" s="8" t="str">
        <f t="shared" si="17"/>
        <v>difference  10 - 9</v>
      </c>
      <c r="T72" s="12">
        <f>AVERAGE(O71:O72)</f>
        <v>3.8184033564074542</v>
      </c>
      <c r="U72" s="8" t="str">
        <f>"average  "&amp;_xlfn.TEXTJOIN(", ",,TEXT(O72,"0.###"),TEXT(O71,"0.###"))</f>
        <v>average  3.949, 3.687</v>
      </c>
    </row>
    <row r="73" spans="14:21">
      <c r="O73" s="20">
        <v>4.4599415140600804</v>
      </c>
    </row>
    <row r="74" spans="14:21">
      <c r="O74" s="20">
        <v>5.402834378683683</v>
      </c>
    </row>
    <row r="75" spans="14:21">
      <c r="O75" s="20">
        <v>6.2694339304893543</v>
      </c>
    </row>
    <row r="79" spans="14:21">
      <c r="O79" s="8" t="s">
        <v>135</v>
      </c>
    </row>
    <row r="80" spans="14:21">
      <c r="O80" s="8">
        <v>20</v>
      </c>
      <c r="Q80" s="8" t="s">
        <v>137</v>
      </c>
      <c r="R80" s="8" t="s">
        <v>137</v>
      </c>
      <c r="S80" s="8" t="s">
        <v>138</v>
      </c>
      <c r="T80" s="8" t="s">
        <v>140</v>
      </c>
      <c r="U80" s="8" t="s">
        <v>142</v>
      </c>
    </row>
    <row r="81" spans="14:22">
      <c r="O81" s="8" t="s">
        <v>136</v>
      </c>
      <c r="Q81" s="8" t="s">
        <v>135</v>
      </c>
      <c r="R81" s="8" t="s">
        <v>136</v>
      </c>
      <c r="S81" s="8" t="s">
        <v>139</v>
      </c>
      <c r="T81" s="8" t="s">
        <v>141</v>
      </c>
      <c r="U81" s="8" t="s">
        <v>141</v>
      </c>
    </row>
    <row r="82" spans="14:22">
      <c r="O82" s="8">
        <v>5</v>
      </c>
    </row>
    <row r="83" spans="14:22">
      <c r="O83" s="8" t="s">
        <v>133</v>
      </c>
      <c r="P83" s="14">
        <f>N48</f>
        <v>2.1440000000000001</v>
      </c>
    </row>
    <row r="84" spans="14:22">
      <c r="N84" s="12">
        <f>T85-P84</f>
        <v>0.29528367013222967</v>
      </c>
      <c r="O84" s="8" t="s">
        <v>134</v>
      </c>
      <c r="P84" s="12">
        <f>T64</f>
        <v>2.5107794394904808</v>
      </c>
    </row>
    <row r="85" spans="14:22">
      <c r="O85" s="8" t="s">
        <v>128</v>
      </c>
      <c r="P85" s="12">
        <f>T66</f>
        <v>2.8115314487523606</v>
      </c>
      <c r="Q85" s="8">
        <f>P85*SQRT($O$80/333000)</f>
        <v>2.1788926144763417E-2</v>
      </c>
      <c r="R85" s="21">
        <f>Q85*SQRT($O$82/333000)</f>
        <v>8.4430373836407214E-5</v>
      </c>
      <c r="S85" s="8">
        <f>AVERAGE(Q85:R85)</f>
        <v>1.0936678259299911E-2</v>
      </c>
      <c r="T85" s="12">
        <f>P85-(S85/2)</f>
        <v>2.8060631096227104</v>
      </c>
      <c r="U85" s="12">
        <f>P85+(S85/2)</f>
        <v>2.8169997878820108</v>
      </c>
      <c r="V85" s="12"/>
    </row>
    <row r="86" spans="14:22">
      <c r="O86" s="8" t="s">
        <v>129</v>
      </c>
      <c r="P86" s="12">
        <f>T68</f>
        <v>3.0955531459326968</v>
      </c>
      <c r="Q86" s="8">
        <f t="shared" ref="Q86:Q87" si="18">P86*SQRT($O$80/333000)</f>
        <v>2.3990049588045161E-2</v>
      </c>
      <c r="R86" s="21">
        <f t="shared" ref="R86:R87" si="19">Q86*SQRT($O$82/333000)</f>
        <v>9.2959553931912806E-5</v>
      </c>
      <c r="S86" s="8">
        <f t="shared" ref="S86:S87" si="20">AVERAGE(Q86:R86)</f>
        <v>1.2041504570988537E-2</v>
      </c>
      <c r="T86" s="12">
        <f t="shared" ref="T86:T87" si="21">P86-(S86/2)</f>
        <v>3.0895323936472026</v>
      </c>
      <c r="U86" s="12">
        <f t="shared" ref="U86:U87" si="22">P86+(S86/2)</f>
        <v>3.1015738982181911</v>
      </c>
    </row>
    <row r="87" spans="14:22">
      <c r="O87" s="8" t="s">
        <v>130</v>
      </c>
      <c r="P87" s="12">
        <f>T70</f>
        <v>3.405927795282063</v>
      </c>
      <c r="Q87" s="8">
        <f t="shared" si="18"/>
        <v>2.639540426223214E-2</v>
      </c>
      <c r="R87" s="21">
        <f t="shared" si="19"/>
        <v>1.022801139724343E-4</v>
      </c>
      <c r="S87" s="8">
        <f t="shared" si="20"/>
        <v>1.3248842188102287E-2</v>
      </c>
      <c r="T87" s="12">
        <f t="shared" si="21"/>
        <v>3.3993033741880119</v>
      </c>
      <c r="U87" s="12">
        <f t="shared" si="22"/>
        <v>3.4125522163761142</v>
      </c>
    </row>
    <row r="88" spans="14:22">
      <c r="O88" s="8" t="s">
        <v>131</v>
      </c>
      <c r="P88" s="12">
        <f>T72</f>
        <v>3.8184033564074542</v>
      </c>
    </row>
    <row r="89" spans="14:22">
      <c r="O89" s="8" t="s">
        <v>132</v>
      </c>
      <c r="P89" s="14">
        <f>S48</f>
        <v>4.4660000000000002</v>
      </c>
    </row>
    <row r="91" spans="14:22">
      <c r="O91" s="8" t="s">
        <v>145</v>
      </c>
      <c r="P91" s="8" t="s">
        <v>156</v>
      </c>
      <c r="Q91" s="8" t="s">
        <v>154</v>
      </c>
      <c r="R91" s="8" t="s">
        <v>155</v>
      </c>
    </row>
    <row r="92" spans="14:22">
      <c r="N92" s="8" t="s">
        <v>143</v>
      </c>
      <c r="O92" s="8">
        <v>2.1440000000000001</v>
      </c>
    </row>
    <row r="93" spans="14:22">
      <c r="N93" s="8" t="s">
        <v>152</v>
      </c>
      <c r="O93" s="22">
        <f>AVERAGE(P93:Q93)</f>
        <v>2.3273999999999999</v>
      </c>
      <c r="P93" s="8">
        <v>2.1440000000000001</v>
      </c>
      <c r="Q93" s="8">
        <v>2.5108000000000001</v>
      </c>
      <c r="R93" s="12">
        <f>Q93-P93</f>
        <v>0.36680000000000001</v>
      </c>
      <c r="S93" s="8">
        <f>R93/($O$101-$O$93)</f>
        <v>0.20211574873737997</v>
      </c>
    </row>
    <row r="94" spans="14:22">
      <c r="N94" s="8" t="s">
        <v>144</v>
      </c>
      <c r="O94" s="22">
        <f>AVERAGE(P94:Q94)</f>
        <v>2.6584500000000002</v>
      </c>
      <c r="P94" s="8">
        <v>2.5108000000000001</v>
      </c>
      <c r="Q94" s="8">
        <v>2.8060999999999998</v>
      </c>
      <c r="R94" s="12">
        <f>Q94-P94</f>
        <v>0.29529999999999967</v>
      </c>
      <c r="S94" s="8">
        <f t="shared" ref="S94:S101" si="23">R94/($O$101-$O$93)</f>
        <v>0.16271750436790686</v>
      </c>
    </row>
    <row r="95" spans="14:22">
      <c r="N95" s="8" t="s">
        <v>146</v>
      </c>
      <c r="O95" s="22">
        <f t="shared" ref="O95:O101" si="24">AVERAGE(P95:Q95)</f>
        <v>2.8115498939410051</v>
      </c>
      <c r="P95" s="8">
        <v>2.8060999999999998</v>
      </c>
      <c r="Q95" s="12">
        <f>U85</f>
        <v>2.8169997878820108</v>
      </c>
      <c r="R95" s="12">
        <f t="shared" ref="R95:R101" si="25">Q95-P95</f>
        <v>1.0899787882010958E-2</v>
      </c>
      <c r="S95" s="8">
        <f t="shared" si="23"/>
        <v>6.0060490426697543E-3</v>
      </c>
    </row>
    <row r="96" spans="14:22">
      <c r="N96" s="8" t="s">
        <v>147</v>
      </c>
      <c r="O96" s="22">
        <f t="shared" si="24"/>
        <v>2.9532660907646067</v>
      </c>
      <c r="P96" s="12">
        <f>Q95</f>
        <v>2.8169997878820108</v>
      </c>
      <c r="Q96" s="12">
        <f>T86</f>
        <v>3.0895323936472026</v>
      </c>
      <c r="R96" s="12">
        <f t="shared" si="25"/>
        <v>0.27253260576519178</v>
      </c>
      <c r="S96" s="8">
        <f t="shared" si="23"/>
        <v>0.15017211469351399</v>
      </c>
    </row>
    <row r="97" spans="14:19">
      <c r="N97" s="8" t="s">
        <v>148</v>
      </c>
      <c r="O97" s="22">
        <f t="shared" si="24"/>
        <v>3.0955531459326968</v>
      </c>
      <c r="P97" s="12">
        <f>Q96</f>
        <v>3.0895323936472026</v>
      </c>
      <c r="Q97" s="12">
        <f>U86</f>
        <v>3.1015738982181911</v>
      </c>
      <c r="R97" s="12">
        <f t="shared" si="25"/>
        <v>1.2041504570988515E-2</v>
      </c>
      <c r="S97" s="8">
        <f t="shared" si="23"/>
        <v>6.6351627925025271E-3</v>
      </c>
    </row>
    <row r="98" spans="14:19">
      <c r="N98" s="8" t="s">
        <v>149</v>
      </c>
      <c r="O98" s="22">
        <f t="shared" si="24"/>
        <v>3.2504386362031017</v>
      </c>
      <c r="P98" s="12">
        <f>Q97</f>
        <v>3.1015738982181911</v>
      </c>
      <c r="Q98" s="12">
        <f>T87</f>
        <v>3.3993033741880119</v>
      </c>
      <c r="R98" s="12">
        <f t="shared" si="25"/>
        <v>0.2977294759698208</v>
      </c>
      <c r="S98" s="8">
        <f t="shared" si="23"/>
        <v>0.16405620489865896</v>
      </c>
    </row>
    <row r="99" spans="14:19">
      <c r="N99" s="8" t="s">
        <v>150</v>
      </c>
      <c r="O99" s="22">
        <f t="shared" si="24"/>
        <v>3.405927795282063</v>
      </c>
      <c r="P99" s="12">
        <f>Q98</f>
        <v>3.3993033741880119</v>
      </c>
      <c r="Q99" s="12">
        <f>U87</f>
        <v>3.4125522163761142</v>
      </c>
      <c r="R99" s="12">
        <f t="shared" si="25"/>
        <v>1.3248842188102294E-2</v>
      </c>
      <c r="S99" s="8">
        <f t="shared" si="23"/>
        <v>7.3004352746774337E-3</v>
      </c>
    </row>
    <row r="100" spans="14:19">
      <c r="N100" s="8" t="s">
        <v>151</v>
      </c>
      <c r="O100" s="22">
        <f t="shared" si="24"/>
        <v>3.615477786391784</v>
      </c>
      <c r="P100" s="12">
        <f>Q99</f>
        <v>3.4125522163761142</v>
      </c>
      <c r="Q100" s="12">
        <f>P88</f>
        <v>3.8184033564074542</v>
      </c>
      <c r="R100" s="12">
        <f t="shared" si="25"/>
        <v>0.40585114003134004</v>
      </c>
      <c r="S100" s="8">
        <f t="shared" si="23"/>
        <v>0.22363387961655817</v>
      </c>
    </row>
    <row r="101" spans="14:19">
      <c r="N101" s="8" t="s">
        <v>153</v>
      </c>
      <c r="O101" s="22">
        <f t="shared" si="24"/>
        <v>4.142201678203727</v>
      </c>
      <c r="P101" s="12">
        <f>Q100</f>
        <v>3.8184033564074542</v>
      </c>
      <c r="Q101" s="8">
        <v>4.4660000000000002</v>
      </c>
      <c r="R101" s="12">
        <f t="shared" si="25"/>
        <v>0.64759664359254598</v>
      </c>
      <c r="S101" s="8">
        <f t="shared" si="23"/>
        <v>0.35684154988964456</v>
      </c>
    </row>
    <row r="102" spans="14:19">
      <c r="N102" s="8" t="s">
        <v>143</v>
      </c>
      <c r="O102" s="8">
        <v>4.4660000000000002</v>
      </c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EEAVgBFAFIAQQBHAEUAKABNAEkATgAoAGEAcgByAGEAeQApACwAIABNAEEAWAAoAGEAcgByAGEAeQApACkAKQAsAFwAbgAgACAAIAAgACAAIAAgACAAUgBPAFUATgBEACgAbQBpAGQAcgBhAG4AZwBlACwAIABwAHIAZQBjACkAXABuACAAIAAgACAAKQBcAG4AKQA7AFwAbgBcAG4ALwAqACAAUwBUAEEAVABfAEYAUgBFAFEAXwBUAEEAQgBMAEUAXABuAFwAbgBHAGUAbgBlAHIAYQB0AGUAcwAgAGEAIABmAHIAZQBxAHUAZQBuAGMAeQAgAHQAYQBiAGwAZQAgAGYAcgBvAG0AIABhACAAbgB1AG0AZQByAGkAYwAgAHIAYQBuAGcAZQAuAFwAbgBcAG4AQQByAGcAdQBtAGUAbgB0AHMAOgBcAG4ALQAgAHIAYQBuAGcAZQAgADoAIAByAGUAcQB1AGkAcgBlAGQAIABuAHUAbQBlAHIAaQBjACAAaQBuAHAAdQB0AFwAbgAtACAAbQBvAGQAZQAgACAAOgAgAG8AcAB0AGkAbwBuAGEAbAAgAGsAZQB5AHcAbwByAGQAIAAoAFwAIgBMAEIATABcACIAIAB0AG8AIABpAG4AYwBsAHUAZABlACAAYwBvAGwAdQBtAG4AIABoAGUAYQBkAGUAcgBzADsAIABkAGUAZgBhAHUAbAB0ACAAPQAgAG4AbwAgAGgAZQBhAGQAZQByAHMAKQBcAG4AXABuAFIAZQB0AHUAcgBuAHMAOgBcAG4ALQAgAEEAIAAzAC0AYwBvAGwAdQBtAG4AIABzAHAAaQBsAGwAZQBkACAAYQByAHIAYQB5ADoAXABuACAAIAAgACAAIiAgAEMAbwBsAHUAbQBuACAAMQA6ACAAVQBuAGkAcQB1AGUAIAB2AGEAbAB1AGUAcwBcAG4AIAAgACAAIAAiICAAQwBvAGwAdQBtAG4AIAAyADoAIABGAHIAZQBxAHUAZQBuAGMAeQAgACgAYwBvAHUAbgB0ACkAXABuACAAIAAgACAAIiAgAEMAbwBsAHUAbQBuACAAMwA6ACAAVwBlAGkAZwBoAHQAZQBkACAAcAByAG8AZAB1AGMAdAAgACgAdgBhAGwAdQBlACAA1wAgAGMAbwB1AG4AdAApAFwAbgBcAG4ATgBvAHQAZQBzADoAXABuAC0AIABTAG8AcgB0AGUAZAAgAGkAbgAgAGEAcwBjAGUAbgBkAGkAbgBnACAAbwByAGQAZQByAFwAbgAtACAASQBuAGMAbAB1AGQAZQBzACAAaABlAGEAZABlAHIAcwAgAGkAZgAgAG0AbwBkAGUAIAA9ACAAXAAiAEwAQgBMAFwAIgBcAG4ALQAgAFUAcwBlAGYAdQBsACAAZgBvAHIAIABtAG8AZABlACAAYQBuAGEAbAB5AHMAaQBzACwAIAB3AGUAaQBnAGgAdABlAGQAIABtAGUAYQBuAHMALAAgAGEAbgBkACAAZABpAHMAdAByAGkAYgB1AHQAaQBvAG4AIABvAHYAZQByAHYAaQBlAHcAXABuAFwAbgAqAC8AXABuAFMAVABBAFQAXwBGAFIARQBRAF8AVABBAEIATABFACAAPQAgAEwAQQBNAEIARABBACgAcgBhAG4AZwBlACwAIABbAG0AbwBkAGUAXQAsAFwAbgAgACAAIAAgAEwARQBUACgAXABuACAAIAAgACAAIAAgACAAIAAvAC8AIABIAGEAbgBkAGwAZQAgAGwAYQBiAGUAbAAgAG0AbwBkAGUAXABuACAAIAAgACAAIAAgACAAIABtAG8AZABlACwAIABJAEYAKABJAFMATwBNAEkAVABUAEUARAAoAG0AbwBkAGUAKQAsACAAXAAiAFwAIgAsACAAVQBQAFAARQBSACgAbQBvAGQAZQApACkALABcAG4AIAAgACAAIAAgACAAIAAgAFwAbgAgACAAIAAgACAAIAAgACAALwAvACAAUAByAGUAcABhAHIAZQAgAHUAbgBpAHEAdQBlACAAdgBhAGwAdQBlAHMAIABpAG4AIABzAG8AcgB0AGUAZAAgAG8AcgBkAGUAcgBcAG4AIAAgACAAIAAgACAAIAAgAHUAXwB2AGEAbABzACwAIABTAE8AUgBUACgAVQBOAEkAUQBVAEUAKAByAGEAbgBnAGUAKQApACwAXABuACAAIAAgACAAIAAgACAAIABcAG4AIAAgACAAIAAgACAAIAAgAC8ALwAgAEYAcgBlAHEAdQBlAG4AYwB5ACAAYwBvAHUAbgB0AHMAIABwAGUAcgAgAHUAbgBpAHEAdQBlACAAdgBhAGwAdQBlAFwAbgAgACAAIAAgACAAIAAgACAAdwBlAGkAZwBoAHQAcwAsACAAQgBZAFIATwBXACgAdQBfAHYAYQBsAHMALAAgAEwAQQBNAEIARABBACgAYQAsACAAQwBPAFUATgBUAEkARgAoAHIAYQBuAGcAZQAsACAAYQApACkAKQAsAFwAbgAgACAAIAAgACAAIAAgACAAXABuACAAIAAgACAAIAAgACAAIAAvAC8AIABXAGUAaQBnAGgAdABlAGQAIAB2AGEAbAB1AGUAIADXACAAZgByAGUAcQB1AGUAbgBjAHkAXABuACAAIAAgACAAIAAgACAAIABwAHIAbwBkAHUAYwB0AHMALAAgAHUAXwB2AGEAbABzACAAKgAgAHcAZQBpAGcAaAB0AHMALABcAG4AIAAgACAAIAAgACAAIAAgAFwAbgAgACAAIAAgACAAIAAgACAALwAvACAAQQBkAGQAIABjAG8AbAB1AG0AbgAgAGgAZQBhAGQAZQByAHMAIABpAGYAIABcACIATABCAEwAXAAiACAAbQBvAGQAZQBcAG4AIAAgACAAIAAgACAAIAAgAHYAYQBsAHUAZQBzAF8AYwBvAGwALAAgAEkARgAoAG0AbwBkAGUAIAA9ACAAXAAiAEwAQgBMAFwAIgAsACAAVgBTAFQAQQBDAEsAKABcACIAVgBhAGwAdQBlAFwAIgAsACAAdQBfAHYAYQBsAHMAKQAsACAAdQBfAHYAYQBsAHMAKQAsAFwAbgAgACAAIAAgACAAIAAgACAAdwBlAGkAZwBoAHQAcwBfAGMAbwBsACwAIABJAEYAKABtAG8AZABlACAAPQAgAFwAIgBMAEIATABcACIALAAgAFYAUwBUAEEAQwBLACgAXAAiAFcAZQBpAGcAaAB0AFwAIgAsACAAdwBlAGkAZwBoAHQAcwApACwAIAB3AGUAaQBnAGgAdABzACkALABcAG4AIAAgACAAIAAgACAAIAAgAHAAcgBvAGQAdQBjAHQAcwBfAGMAbwBsACwAIABJAEYAKABtAG8AZABlACAAPQAgAFwAIgBMAEIATABcACIALAAgAFYAUwBUAEEAQwBLACgAXAAiAFAAcgBvAGQAdQBjAHQAXAAiACwAIABwAHIAbwBkAHUAYwB0AHMAKQAsACAAcAByAG8AZAB1AGMAdABzACkALABcAG4AIAAgACAAIAAgACAAIAAgAFwAbgAgACAAIAAgACAAIAAgACAALwAvACAARgBpAG4AYQBsACAAbwB1AHQAcAB1AHQAXABuACAAIAAgACAAIAAgACAAIABIAFMAVABBAEMASwAoAHYAYQBsAHUAZQBzAF8AYwBvAGwALAAgAHcAZQBpAGcAaAB0AHMAXwBjAG8AbAAsACAAcAByAG8AZAB1AGMAdABzAF8AYwBvAGwAKQBcAG4AIAAgACAAIAApAFwAbgApADsAXABuAFwAbgAvACoAIABTAFQAQQBUAF8AVwBUAEQAXwBBAFYARwBcAG4AXABuAFIAZQB0AHUAcgBuAHMAIAB0AGgAZQAgAHcAZQBpAGcAaAB0AGUAZAAgAGEAdgBlAHIAYQBnAGUAIABvAGYAIABhACAAdgBhAGwAdQBlACAAcwBlAHQAIABiAGEAcwBlAGQAIABvAG4AIABhACAAbQBhAHQAYwBoAGkAbgBnACAAdwBlAGkAZwBoAHQAIABzAGUAdAAuAFwAbgBcAG4AQQByAGcAdQBtAGUAbgB0AHMAOgBcAG4ALQAgAHcAdABzACAAIAAgACAAOgAgAGEAcgByAGEAeQAgAG8AZgAgAHcAZQBpAGcAaAB0AHMAXABuAC0AIAB2AGEAbAB1AGUAcwAgADoAIABhAHIAcgBhAHkAIABvAGYAIAB2AGEAbAB1AGUAcwAgACgAcwBhAG0AZQAgAGwAZQBuAGcAdABoACAAYQBzACAAdwBlAGkAZwBoAHQAcwApAFwAbgBcAG4AUgBlAHQAdQByAG4AcwA6AFwAbgAtACAAVwBlAGkAZwBoAHQAZQBkACAAYQB2AGUAcgBhAGcAZQAgAD0AIABTAFUATQBQAFIATwBEAFUAQwBUACgAdwB0AHMALAAgAHYAYQBsAHUAZQBzACkAIAAvACAAUwBVAE0AKAB3AHQAcwApAFwAbgAtACAAUgBlAHQAdQByAG4AcwAgACMATgAvAEEAIABpAGYAIABpAG4AcAB1AHQAIABsAGUAbgBnAHQAaABzACAAbQBpAHMAbQBhAHQAYwBoACAAbwByACAAdwBlAGkAZwBoAHQAIABzAHUAbQAgAGkAcwAgAHoAZQByAG8AXABuAFwAbgAqAC8AXABuAFMAVABBAFQAXwBXAFQARABfAEEAVgBHACAAPQAgAEwAQQBNAEIARABBACgAdwB0AHMALAAgAHYAYQBsAHUAZQBzACwAXABuACAAIAAgACAATABFAFQAKABcAG4AIAAgACAAIAAgACAAIAAgAGwAZQBuAF8AbQBhAHQAYwBoACwAIABDAE8AVQBOAFQAQQAoAHcAdABzACkAIAA9ACAAQwBPAFUATgBUAEEAKAB2AGEAbAB1AGUAcwApACwAXABuACAAIAAgACAAIAAgACAAIAB0AG8AdABhAGwAXwB3AHQALAAgAFMAVQBNACgAdwB0AHMAKQAsAFwAbgAgACAAIAAgACAAIAAgACAAcgBlAHMAdQBsAHQALAAgAEkARgAoAE4ATwBUACgAbABlAG4AXwBtAGEAdABjAGgAKQAgACsAIAAoAHQAbwB0AGEAbABfAHcAdAAgAD0AIAAwACkALAAgAE4AQQAoACkALAAgAFMAVQBNAFAAUgBPAEQAVQBDAFQAKAB3AHQAcwAsACAAdgBhAGwAdQBlAHMAKQAgAC8AIAB0AG8AdABhAGwAXwB3AHQAKQAsAFwAbgAgACAAIAAgACAAIAAgACAAcgBlAHMAdQBsAHQAXABuACAAIAAgACAAKQBcAG4AKQA7AFwAbgBcAG4ALwAqACAAUwBUAEEAVABfAFMARQBMAEYAXwBXAFQARABfAEEAVgBHAFwAbgBcAG4AUgBlAHQAdQByAG4AcwAgAGEAIABzAGUAbABmAC0AdwBlAGkAZwBoAHQAZQBkACAAYQB2AGUAcgBhAGcAZQAgAG8AZgAgAHYAYQBsAHUAZQBzACwAIAB3AGgAZQByAGUAIABlAGEAYwBoACAAdgBhAGwAdQBlACAAaQBzACAAdAByAGUAYQB0AGUAZAAgAGEAcwAgAGkAdABzACAAbwB3AG4AIAB3AGUAaQBnAGgAdAAuAFwAbgBcAG4AQQByAGcAdQBtAGUAbgB0AHMAOgBcAG4ALQAgAHIAYQBuAGcAZQAgADoAIABuAHUAbQBlAHIAaQBjACAAYQByAHIAYQB5AFwAbgBcAG4AUgBlAHQAdQByAG4AcwA6AFwAbgAtACAAowMoAHgAYh2yACkAIAAvACAAowMoAHgAYh0pAFwAbgAtACAAUgBlAHQAdQByAG4AcwAgACMATgAvAEEAIABpAGYAIAB0AG8AdABhAGwAIABzAHUAbQAgAD0AIAAwAFwAbgBcAG4AKgAvAFwAbgBTAFQAQQBUAF8AUwBFAEwARgBfAFcAVABEAF8AQQBWAEcAIAA9ACAATABBAE0AQgBEAEEAKAByAGEAbgBnAGUALABcAG4AIAAgACAAIABMAEUAVAAoAFwAbgAgACAAIAAgACAAIAAgACAAcwB1AG0AXwB2AGEAbABzACwAIABTAFUATQAoAHIAYQBuAGcAZQApACwAXABuACAAIAAgACAAIAAgACAAIAByAGUAcwB1AGwAdAAsACAASQBGACgAcwB1AG0AXwB2AGEAbABzACAAPQAgADAALAAgAE4AQQAoACkALAAgAFMAVQBNAFAAUgBPAEQAVQBDAFQAKAByAGEAbgBnAGUALAAgAHIAYQBuAGcAZQApACAALwAgAHMAdQBtAF8AdgBhAGwAcwApACwAXABuACAAIAAgACAAIAAgACAAIAByAGUAcwB1AGwAdABcAG4AIAAgACAAIAApAFwAbgApADsAXABuAFwAbgAvACoAIABTAFQAQQBUAF8AUABDAFQAXwBSAEUATQBBAFAAXABuAFwAbgBSAGUAcwBjAGEAbABlAHMAIABhACAAdgBhAGwAdQBlACAAZgByAG8AbQAgAG8AbgBlACAAbgB1AG0AZQByAGkAYwAgAHIAYQBuAGcAZQAgAGkAbgB0AG8AIABhAG4AbwB0AGgAZQByACwAIABwAHIAZQBzAGUAcgB2AGkAbgBnACAAaQB0AHMAXABuAHIAZQBsAGEAdABpAHYAZQAgAHAAbwBzAGkAdABpAG8AbgAgACgAcABlAHIAYwBlAG4AdABpAGwAZQApACAAYgBlAHQAdwBlAGUAbgAgAHQAaABlACAAdAB3AG8AIABpAG4AdABlAHIAdgBhAGwAcwAuAFwAbgBcAG4AQQByAGcAdQBtAGUAbgB0AHMAOgBcAG4ALQAgAFMAdABhAHIAdABNAGkAbgAsACAAUwB0AGEAcgB0AE0AYQB4ACAAOgAgAG8AcgBpAGcAaQBuAGEAbAAgAG4AdQBtAGUAcgBpAGMAIAByAGEAbgBnAGUAXABuAC0AIABUAGEAcgBnAGUAdAAgACAAIAAgACAAIAAgACAAIAAgACAAIAAgADoAIAB2AGEAbAB1AGUAIAB3AGkAdABoAGkAbgAgAHQAaABlACAAbwByAGkAZwBpAG4AYQBsACAAcgBhAG4AZwBlAFwAbgAtACAARQBuAGQATQBpAG4ALAAgAEUAbgBkAE0AYQB4ACAAIAAgACAAIAA6ACAAZABlAHMAdABpAG4AYQB0AGkAbwBuACAAcgBhAG4AZwBlAFwAbgAtACAAZABlAGMAcAByAGUAYwAgACgAbwBwAHQAaQBvAG4AYQBsACkAIAA6ACAAZABlAGMAaQBtAGEAbAAgAHAAcgBlAGMAaQBzAGkAbwBuACAAKABkAGUAZgBhAHUAbAB0ACAAPQAgADEANQApAFwAbgBcAG4AUgBlAHQAdQByAG4AcwA6AFwAbgAtACAAVABoAGUAIABwAGUAcgBjAGUAbgB0AGkAbABlAC0AZQBxAHUAaQB2AGEAbABlAG4AdAAgAHYAYQBsAHUAZQAgAGkAbgAgAHQAaABlACAAcwBlAGMAbwBuAGQAIAByAGEAbgBnAGUAXABuAFwAbgBFAHgAYQBtAHAAbABlADoAXABuACAAIAAgACAAUwBUAEEAVABfAFAAQwBUAF8AUgBFAE0AQQBQACgAMwAsACAAMQAxACwAIAA1ACwAIAAyACwAIAAxADkAKQBcAG4AIAAgACAAIACSISAANgAuADIANQAgACgAcwBpAG4AYwBlACAANQAgAGkAcwAgADIANQAlACAAYgBlAHQAdwBlAGUAbgAgADMAEyAxADEALAAgAGEAbgBkACAANgAuADIANQAgAGkAcwAgADIANQAlACAAYgBlAHQAdwBlAGUAbgAgADIAEyAxADkAKQBcAG4AXABuACoALwBcAG4AUwBUAEEAVABfAFAAQwBUAF8AUgBFAE0AQQBQACAAPQAgAEwAQQBNAEIARABBACgAUwB0AGEAcgB0AE0AaQBuACwAIABTAHQAYQByAHQATQBhAHgALAAgAFQAYQByAGcAZQB0ACwAIABFAG4AZABNAGkAbgAsACAARQBuAGQATQBhAHgALAAgAFsAZABlAGMAcAByAGUAYwBdACwAXABuACAAIAAgACAATABFAFQAKABcAG4AIAAgACAAIAAgACAAIAAgAGQAZQBjAHAAcgBlAGMALAAgAEkARgAoAEkAUwBPAE0ASQBUAFQARQBEACgAZABlAGMAcAByAGUAYwApACwAIAAxADUALAAgAGQAZQBjAHAAcgBlAGMAKQAsAFwAbgAgACAAIAAgACAAIAAgACAAcABjAHQALAAgACgAVABhAHIAZwBlAHQAIAAtACAAUwB0AGEAcgB0AE0AaQBuACkAIAAvACAAKABTAHQAYQByAHQATQBhAHgAIAAtACAAUwB0AGEAcgB0AE0AaQBuACkALABcAG4AIAAgACAAIAAgACAAIAAgAGMAYQBsAGMALAAgAHAAYwB0ACAAKgAgACgARQBuAGQATQBhAHgAIAAtACAARQBuAGQATQBpAG4AKQAgACsAIABFAG4AZABNAGkAbgAsAFwAbgAgACAAIAAgACAAIAAgACAAUgBPAFUATgBEACgAYwBhAGwAYwAsACAAZABlAGMAcAByAGUAYwApAFwAbgAgACAAIAAgACkAXABuACkAOwBcAG4AXABuAC8AKgAgAFMAVABBAFQAXwBQAEMAVABfAE8ARgBfAFIAQQBOAEcARQBcAG4AXABuAFIAZQB0AHUAcgBuAHMAIAB0AGgAZQAgAHAAZQByAGMAZQBuAHQAaQBsAGUAIAAoAGEAcwAgAGEAIABkAGUAYwBpAG0AYQBsACAAZgByAGEAYwB0AGkAbwBuACkAIAB0AGgAYQB0ACAAYQAgAHYAYQBsAHUAZQAgAHIAZQBwAHIAZQBzAGUAbgB0AHM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dgBhAGwAdQBlACAAIAAgACAAOgAgAHYAYQBsAHUAZQAgAHQAbwAgAGUAdgBhAGwAdQBhAHQAZQBcAG4ALQAgAGQAZQBjAHAAcgBlAGMAIAAgADoAIABvAHAAdABpAG8AbgBhAGwAIABkAGUAYwBpAG0AYQBsACAAcAByAGUAYwBpAHMAaQBvAG4AIAAoAGQAZQBmAGEAdQBsAHQAIAA9ACAAMQA1ACkAXABuAFwAbgBSAGUAdAB1AHIAbgBzADoAXABuAC0AIABUAGgAZQAgAHAAcgBvAHAAbwByAHQAaQBvAG4AYQBsACAAcABvAHMAaQB0AGkAbwBuACAAbwBmACAAYAB2AGEAbAB1AGUAYAAgAGkAbgAgAHQAaABlACAAcgBhAG4AZwBlACAAWwBtAGkAbgAsACAAbQBhAHgAXQBcAG4AXABuAEUAeABhAG0AcABsAGUAOgBcAG4AIAAgACAAIABTAFQAQQBUAF8AUABDAFQAXwBPAEYAXwBSAEEATgBHAEUAKAAzACwAIAAxADIALAAgADcAKQBcAG4AIAAgACAAIACSISAAMAAuADQANAA0AC4ALgAuACAAKABiAGUAYwBhAHUAcwBlACAANwAgAGkAcwAgADQANAAuADQAJQAgAG8AZgAgAHQAaABlACAAdwBhAHkAIABmAHIAbwBtACAAMwAgAHQAbwAgADEAMgApAFwAbgBcAG4AKgAvAFwAbgBTAFQAQQBUAF8AUABDAFQAXwBPAEYAXwBSAEEATgBHAEUAIAA9ACAATABBAE0AQgBEAEEAKABtAGkAbgAsACAAbQBhAHgALAAgAHYAYQBsAHUAZQAsACAAWwBkAGUAYwBwAHIAZQBjAF0ALABcAG4AIAAgACAAIABMAEUAVAAoAFwAbgAgACAAIAAgACAAIAAgACAAZABlAGMAcAByAGUAYwAsACAASQBGACgASQBTAE8ATQBJAFQAVABFAEQAKABkAGUAYwBwAHIAZQBjACkALAAgADEANQAsACAAZABlAGMAcAByAGUAYwApACwAXABuACAAIAAgACAAIAAgACAAIABjAGEAbABjACwAIAAoAHYAYQBsAHUAZQAgAC0AIABtAGkAbgApACAALwAgACgAbQBhAHgAIAAtACAAbQBpAG4AKQAsAFwAbgAgACAAIAAgACAAIAAgACAAUgBPAFUATgBEACgAYwBhAGwAYwAsACAAZABlAGMAcAByAGUAYwApAFwAbgAgACAAIAAgACkAXABuACkAOwBcAG4AXABuAC8AKgAgAFMAVABBAFQAXwBWAEEATABVAEUAXwBPAEYAXwBQAEMAVABcAG4AXABuAFIAZQB0AHUAcgBuAHMAIAB0AGgAZQAgAHYAYQBsAHUAZQAgAHQAaABhAHQAIABjAG8AcgByAGUAcwBwAG8AbgBkAHMAIAB0AG8AIABhACAAZwBpAHYAZQBuACAAcABlAHIAYwBlAG4AdABhAGcAZQAgACgAYQBzACAAYQAgAGQAZQBjAGkAbQBhAGwAKQAgAFwAbgB3AGkAdABoAGkAbgAgAGEAIABzAHAAZQBjAGkAZgBpAGUAZAAgAG4AdQBtAGUAcgBpAGMAIAByAGEAbgBnAGUALgBcAG4AXABuAEEAcgBnAHUAbQBlAG4AdABzADoAXABuAC0AIABtAGkAbgAgACAAIAAgACAAIAA6ACAAbABvAHcAZQByACAAYgBvAHUAbgBkACAAbwBmACAAcgBhAG4AZwBlAFwAbgAtACAAbQBhAHgAIAAgACAAIAAgACAAOgAgAHUAcABwAGUAcgAgAGIAbwB1AG4AZAAgAG8AZgAgAHIAYQBuAGcAZQBcAG4ALQAgAHAAYwB0ACAAIAAgACAAIAAgADoAIABwAGUAcgBjAGUAbgB0AGEAZwBlACAAZQB4AHAAcgBlAHMAcwBlAGQAIABhAHMAIABhACAAZABlAGMAaQBtAGEAbAAgACgAZQAuAGcALgAgADAALgA0ADAANgA1ACAAZgBvAHIAIAA0ADAALgA2ADUAJQApAFwAbgAtACAAZABlAGMAcAByAGUAYwAgACAAOgAgAG8AcAB0AGkAbwBuAGEAbAAgAGQAZQBjAGkAbQBhAGwAIABwAHIAZQBjAGkAcwBpAG8AbgAgACgAZABlAGYAYQB1AGwAdAAgAD0AIAAxADUAKQBcAG4AXABuAFIAZQB0AHUAcgBuAHMAOgBcAG4ALQAgAFQAaABlACAAdgBhAGwAdQBlACAAYQB0ACAAdABoAGUAIABnAGkAdgBlAG4AIABwAGUAcgBjAGUAbgB0AGkAbABlACAAYgBlAHQAdwBlAGUAbgAgAG0AaQBuACAAYQBuAGQAIABtAGEAeABcAG4AXABuAEUAeABhAG0AcABsAGUAOgBcAG4AIAAgACAAIABTAFQAQQBUAF8AVgBBAEwAVQBFAF8ATwBGAF8AUABDAFQAKAAzACwAIAAxADIALAAgADAALgA0ADAANgA1ACkAXABuACAAIAAgACAAkiEgADYALgA2ADUAOAA1ACAAKAB3AGgAaQBjAGgAIABpAHMAIAA0ADAALgA2ADUAJQAgAGIAZQB0AHcAZQBlAG4AIAAzACAAYQBuAGQAIAAxADIAKQBcAG4AXABuACoALwBcAG4AUwBUAEEAVABfAFYAQQBMAFUARQBfAE8ARgBfAFAAQwBUACAAPQAgAEwAQQBNAEIARABBACgAbQBpAG4ALAAgAG0AYQB4ACwAIABwAGMAdAAsACAAWwBkAGUAYwBwAHIAZQBjAF0ALABcAG4AIAAgACAAIABMAEUAVAAoAFwAbgAgACAAIAAgACAAIAAgACAAZABlAGMAcAByAGUAYwAsACAASQBGACgASQBTAE8ATQBJAFQAVABFAEQAKABkAGUAYwBwAHIAZQBjACkALAAgADEANQAsACAAZABlAGMAcAByAGUAYwApACwAXABuACAAIAAgACAAIAAgACAAIABjAGEAbABjACwAIABwAGMAdAAgACoAIAAoAG0AYQB4ACAALQAgAG0AaQBuACkAIAArACAAbQBpAG4ALABcAG4AIAAgACAAIAAgACAAIAAgAFIATwBVAE4ARAAoAGMAYQBsAGMALAAgAGQAZQBjAHAAcgBlAGMAKQBcAG4AIAAgACAAIAApAFwAbgApADsAXABuAFwAbgAvACoAIABTAFQAQQBUAF8AQgBFAE4ARgBPAFIARABfAFQAQQBCAEwARQBcAG4AXABuAFIAZQB0AHUAcgBuAHMAIAB0AGgAZQAgAHQAaABlAG8AcgBlAHQAaQBjAGEAbAAgAEIAZQBuAGYAbwByAGQAIABkAGkAcwB0AHIAaQBiAHUAdABpAG8AbgAgAHAAcgBvAGIAYQBiAGkAbABpAHQAaQBlAHMAIABmAG8AcgAgAGwAZQBhAGQAaQBuAGcAIABkAGkAZwBpAHQAcwAgADEAIAB0AGgAcgBvAHUAZwBoACAAOQAuAFwAbgBcAG4AQQByAGcAdQBtAGUAbgB0AHMAOgBcAG4ALQAgAG0AbwBkAGUAIAAoAG8AcAB0AGkAbwBuAGEAbAApADoAIABcAG4AIAAgACAAIAAtACAAXAAiAEwAQgBMAFwAIgAgAJIhIAByAGUAdAB1AHIAbgBzACAAYQAgADIALQBjAG8AbAB1AG0AbgAgAGEAcgByAGEAeQA6ACAARABpAGcAaQB0ACAAfAAgAFAAcgBvAGIAYQBiAGkAbABpAHQAeQBcAG4AIAAgACAAIAAtACAAYgBsAGEAbgBrAC8AbwBtAGkAdAB0AGUAZAAgAJIhIAByAGUAdAB1AHIAbgBzACAAcgBhAHcAIABwAHIAbwBiAGEAYgBpAGwAaQB0AGkAZQBzACAAbwBuAGwAeQAgACgAMQAtAGMAbwBsAHUAbQBuACkAXABuAFwAbgBSAGUAdAB1AHIAbgBzADoAXABuAC0AIABBACAAdgBlAHIAdABpAGMAYQBsACAAbABpAHMAdAAgAG8AZgAgADkAIABCAGUAbgBmAG8AcgBkACAAcAByAG8AYgBhAGIAaQBsAGkAdABpAGUAcwAgACgAbABvAGcALQBiAGEAcwBlAGQAIABkAGkAcwB0AHIAaQBiAHUAdABpAG8AbgApAFwAbgAtACAATwBwAHQAaQBvAG4AYQBsAGwAeQAgAGwAYQBiAGUAbABlAGQAIAB3AGkAdABoACAAZABpAGcAaQB0AHMAIAAxACAAdABoAHIAbwB1AGcAaAAgADkAXABuAFwAbgBGAG8AcgBtAHUAbABhADoAXABuAC0AIABQACgAZAApACAAPQAgAEwATwBHADEAMAAoADEAIAArACAAMQAvAGQAKQAsACAAZgBvAHIAIABkACAAaQBuACAAewAxACwAIAAyACwAIAAuAC4ALgAsACAAOQB9AFwAbgBcAG4AQwBvAG0AbQBvAG4AbAB5ACAAdQBzAGUAZAAgAGYAbwByADoAXABuAC0AIABEAGUAdABlAGMAdABpAG4AZwAgAHUAbgBuAGEAdAB1AHIAYQBsACAAcABhAHQAdABlAHIAbgBzACAAaQBuACAAZABhAHQAYQBzAGUAdABzAFwAbgAtACAARgByAGEAdQBkACAAZABlAHQAZQBjAHQAaQBvAG4AIABhAG4AZAAgAGYAbwByAGUAbgBzAGkAYwAgAGEAYwBjAG8AdQBuAHQAaQBuAGcAXABuAC0AIABNAG8AZABlAGwAaQBuAGcAIABkAGkAcwB0AHIAaQBiAHUAdABpAG8AbgBzACAAbwBmACAAbgBhAHQAdQByAGEAbABsAHkAIABvAGMAYwB1AHIAcgBpAG4AZwAgAG4AdQBtAGUAcgBpAGMAYQBsACAAZABhAHQAYQBcAG4AXABuACoALwBcAG4AUwBUAEEAVABfAEIARQBOAEYATwBSAEQAXwBUAEEAQgBMAEUAIAA9ACAATABBAE0AQgBEAEEAKABbAG0AbwBkAGUAXQAsAFwAbgAgACAAIAAgAEwARQBUACgAXABuACAAIAAgACAAIAAgACAAIABtAG8AZABlACwAIABJAEYAKABJAFMATwBNAEkAVABUAEUARAAoAG0AbwBkAGUAKQAsACAAXAAiAFwAIgAsACAAVQBQAFAARQBSACgAbQBvAGQAZQApACkALABcAG4AIAAgACAAIAAgACAAIAAgAFwAbgAgACAAIAAgACAAIAAgACAALwAvACAARABpAGcAaQB0AHMAIAAxACAAdABoAHIAbwB1AGcAaAAgADkAXABuACAAIAAgACAAIAAgACAAIABkAGkAZwBpAHQAcwAsACAAUwBFAFEAVQBFAE4AQwBFACgAOQAsACAALAAgADEALAAgADEAKQAsAFwAbgAgACAAIAAgACAAIAAgACAAXABuACAAIAAgACAAIAAgACAAIAAvAC8AIABCAGUAbgBmAG8AcgBkACAAcAByAG8AYgBhAGIAaQBsAGkAdABpAGUAcwBcAG4AIAAgACAAIAAgACAAIAAgAHAAcgBvAGIAcwAsACAAQgBZAFIATwBXACgAZABpAGcAaQB0AHMALAAgAEwAQQBNAEIARABBACgAZAAsACAATABPAEcAMQAwACgAMQAgACsAIAAoADEAIAAvACAAZAApACkAKQApACwAXABuACAAIAAgACAAIAAgACAAIABcAG4AIAAgACAAIAAgACAAIAAgAC8ALwAgAE8AcAB0AGkAbwBuAGEAbAAgAGwAYQBiAGUAbABlAGQAIABvAHUAdABwAHUAdABcAG4AIAAgACAAIAAgACAAIAAgAHIAZQBzAHUAbAB0ACwAIABJAEYAKABtAG8AZABlACAAPQAgAFwAIgBMAEIATABcACIALAAgAEgAUwBUAEEAQwBLACgAZABpAGcAaQB0AHMALAAgAHAAcgBvAGIAcwApACwAIABwAHIAbwBiAHMAKQAsAFwAbgAgACAAIAAgACAAIAAgACAAcgBlAHMAdQBsAHQAXABuACAAIAAgACAAKQBcAG4AKQA7AFwAbgBcAG4ALwAqACAAUwBUAEEAVABfAFIATgBEAF8AQgBFAE4ARgBPAFIARABcAG4AXABuAEcAZQBuAGUAcgBhAHQAZQBzACAAbwBuAGUAIABvAHIAIABtAG8AcgBlACAAcgBhAG4AZABvAG0AIABkAGkAZwBpAHQAcwAgAGIAYQBzAGUAZAAgAG8AbgAgAHQAaABlACAAQgBlAG4AZgBvAHIAZAAgAGQAaQBzAHQAcgBpAGIAdQB0AGkAbwBuAC4AXABuAFwAbgBBAHIAZwB1AG0AZQBuAHQAcwA6AFwAbgAtACAAZABpAGcAaQB0AHMAIAAoAG8AcAB0AGkAbwBuAGEAbAApADoAIABuAHUAbQBiAGUAcgAgAG8AZgAgAGQAaQBnAGkAdABzACAAdABvACAAcgBlAHQAdQByAG4AIAAoAGQAZQBmAGEAdQBsAHQAIAA9ACAAMQApAFwAbgBcAG4AUgBlAHQAdQByAG4AcwA6AFwAbgAtACAAQQAgAHMAaQBuAGcAbABlAC0AZABpAGcAaQB0ACAAbgB1AG0AYgBlAHIAIABpAGYAIABkAGkAZwBpAHQAcwAgAD0AIAAxAFwAbgAtACAAQQAgAG0AdQBsAHQAaQAtAGQAaQBnAGkAdAAgAG4AdQBtAGIAZQByACAAYwBvAG0AcABvAHMAZQBkACAAbwBmACAAQgBlAG4AZgBvAHIAZAAtAGQAaQBzAHQAcgBpAGIAdQB0AGUAZAAgAGQAaQBnAGkAdABzACAAbwB0AGgAZQByAHcAaQBzAGUAXABuAFwAbgBEAGkAcwB0AHIAaQBiAHUAdABpAG8AbgA6AFwAbgAtACAAQgBhAHMAZQBkACAAbwBuACAAbABlAGEAZABpAG4AZwAgAGQAaQBnAGkAdAAgAHAAcgBvAGIAYQBiAGkAbABpAHQAaQBlAHMAOgBcAG4AIAAgACAAIABQACgAZAApACAAPQAgAEwATwBHADEAMAAoADEAIAArACAAMQAvAGQAKQAgAGYAbwByACAAZAAgAAgiIAB7ADEALgAuADkAfQBcAG4AXABuACoALwBcAG4AUwBUAEEAVABfAFIATgBEAF8AQgBFAE4ARgBPAFIARAAgAD0AIABMAEEATQBCAEQAQQAoAFsAZABpAGcAaQB0AHMAXQAsAFwAbgAgACAAIAAgAEwARQBUACgAXABuACAAIAAgACAAIAAgACAAIABkAGkAZwBpAHQAcwAsACAASQBGACgASQBTAE8ATQBJAFQAVABFAEQAKABkAGkAZwBpAHQAcwApACwAIAAxACwAIABkAGkAZwBpAHQAcwApACwAXABuACAAIAAgACAAIAAgACAAIABcAG4AIAAgACAAIAAgACAAIAAgAC8ALwAgAEQAaQBnAGkAdAAgAHIAYQBuAGcAZQAgADEAEyA5AFwAbgAgACAAIAAgACAAIAAgACAAbgB1AG0AbABpAHMAdAAsACAAUwBFAFEAVQBFAE4AQwBFACgAOQAsACAALAAgADEALAAgADEAKQAsAFwAbgAgACAAIAAgACAAIAAgACAAXABuACAAIAAgACAAIAAgACAAIAAvAC8AIABDAHUAbQB1AGwAYQB0AGkAdgBlACAAQgBlAG4AZgBvAHIAZAAgAHAAcgBvAGIAYQBiAGkAbABpAHQAaQBlAHMAXABuACAAIAAgACAAIAAgACAAIABwAHIAbwBiAGwAaQBzAHQALAAgAHsAMAAuADMAMAAxACwAIAAwAC4ANAA3ADcALAAgADAALgA2ADAAMgAsACAAMAAuADYAOQA5ACwAIAAwAC4ANwA3ADgALAAgADAALgA4ADQANQAsACAAMAAuADkAMAAzACwAIAAwAC4AOQA1ADQALAAgADEAfQAsAFwAbgAgACAAIAAgACAAIAAgACAAXABuACAAIAAgACAAIAAgACAAIAAvAC8AIABHAGUAbgBlAHIAYQB0AGUAIAByAGEAbgBkAG8AbQAgAGEAcgByAGEAeQAgAG8AZgAgAHAAZQByAGMAZQBuAHQAaQBsAGUAcwBcAG4AIAAgACAAIAAgACAAIAAgAHIAYQBuAGQAXwBuAHUAbQBzACwAIABSAEEATgBEAEEAUgBSAEEAWQAoAGQAaQBnAGkAdABzACwAIAAxACkALABcAG4AIAAgACAAIAAgACAAIAAgAFwAbgAgACAAIAAgACAAIAAgACAALwAvACAATQBhAHQAYwBoACAAdABvACAAZABpAGcAaQB0ACAAdgBpAGEAIABwAGUAcgBjAGUAbgB0AGkAbABlACAAbQBhAHAAcABpAG4AZwBcAG4AIAAgACAAIAAgACAAIAAgAGkAbgBkAGkAYwBlAHMALAAgAE0AQQBUAEMASAAoAFgATABPAE8ASwBVAFAAKAByAGEAbgBkAF8AbgB1AG0AcwAsACAAcAByAG8AYgBsAGkAcwB0ACwAIABwAHIAbwBiAGwAaQBzAHQALAAgACwAIAAxACkALAAgAHAAcgBvAGIAbABpAHMAdAAsACAAMQApACwAXABuACAAIAAgACAAIAAgACAAIABkAGkAZwBpAHQAcwBfAGcAZQBuAGUAcgBhAHQAZQBkACwAIABJAE4ARABFAFgAKABuAHUAbQBsAGkAcwB0ACwAIABpAG4AZABpAGMAZQBzACkALABcAG4AIAAgACAAIAAgACAAIAAgAFwAbgAgACAAIAAgACAAIAAgACAALwAvACAATwB1AHQAcAB1AHQAIABhAHMAIABuAHUAbQBlAHIAaQBjACAAdgBhAGwAdQBlAFwAbgAgACAAIAAgACAAIAAgACAAbwB1AHQAcAB1AHQALAAgAEkARgAoAFwAbgAgACAAIAAgACAAIAAgACAAIAAgACAAIABkAGkAZwBpAHQAcwAgAD0AIAAxACwAXABuACAAIAAgACAAIAAgACAAIAAgACAAIAAgAFYAQQBMAFUARQAoAGQAaQBnAGkAdABzAF8AZwBlAG4AZQByAGEAdABlAGQAKQAsAFwAbgAgACAAIAAgACAAIAAgACAAIAAgACAAIABWAEEATABVAEUAKABUAEUAWABUAEoATwBJAE4AKABcACIAXAAiACwAIABUAFIAVQBFACwAIABkAGkAZwBpAHQAcwBfAGcAZQBuAGUAcgBhAHQAZQBkACkAKQBcAG4AIAAgACAAIAAgACAAIAAgACkALABcAG4AIAAgACAAIAAgACAAIAAgAG8AdQB0AHAAdQB0AFwAbgAgACAAIAAgACkAXABuACkAOwBcAG4AXABuAC8AKgAgAFMAVABBAFQAXwBWAEEATABfAEIAUgBBAEMASwBFAFQAXABuAFwAbgBSAGUAdAB1AHIAbgBzACAAdABoAGUAIAB2AGEAbAB1AGUAcwAgAGkAbgAgAGEAIABkAGEAdABhAHMAZQB0ACAAdABoAGEAdAAgAGIAcgBhAGMAawBlAHQAIABhACAAcwBwAGUAYwBpAGYAaQBlAGQAIAB0AGEAcgBnAGUAdAAgAHYAYQBsAHUAZQAuAFwAbgBcAG4AQQByAGcAdQBtAGUAbgB0AHMAOgBcAG4ALQAgAFQAZQBzAHQAQQByAHIAYQB5ACAAOgAgAGEAcgByAGEAeQAgAG8AZgAgAG4AdQBtAGUAcgBpAGMAIAB2AGEAbAB1AGUAcwBcAG4ALQAgAFQAYQByAGcAZQB0ACAAIAAgACAAOgAgAHQAaABlACAAdgBhAGwAdQBlACAAdABvACAAZgBpAG4AZAAgAGIAcgBhAGMAawBlAHQAaQBuAGcAIABiAG8AdQBuAGQAcwAgAGYAbwByAFwAbgAtACAAaQBuAGMAbAAgACAAIAAgACAAIAA6ACAAbwBwAHQAaQBvAG4AYQBsACwAIABcACIASQBOAEMAXAAiACAAKABkAGUAZgBhAHUAbAB0ACkAIABpAG4AYwBsAHUAZABlAHMAIAB0AGEAcgBnAGUAdAAgAGkAbgAgAHIAZQBzAHUAbAB0ACwAIABcACIARQBYAEMAXAAiACAAZQB4AGMAbAB1AGQAZQBzACAAaQB0AFwAbgAtACAAbQBvAGQAZQAgACAAIAAgACAAIAA6ACAAbwBwAHQAaQBvAG4AYQBsACAAbABhAHkAbwB1AHQAOgBcAG4AIAAgACAAIABcACIAVgBFAFIAXAAiACAAPQAgAHYAZQByAHQAaQBjAGEAbAAgAGEAcgByAGEAeQAgACgAZABlAGYAYQB1AGwAdAApAFwAbgAgACAAIAAgAFwAIgBIAE8AUgBcACIAIAA9ACAAaABvAHIAaQB6AG8AbgB0AGEAbAAgAGEAcgByAGEAeQBcAG4AIAAgACAAIABcACIAUwBUAFIAXAAiACAAPQAgAHMAdAByAGkAbgBnACAAZgBvAHIAbQBhAHQAIABcACIAKABsAG8AdwBlAHIAIAA6ACAAWwB0AGEAcgBnAGUAdABdACAAOgAgAHUAcABwAGUAcgApAFwAIgBcAG4ALQAgAGwAYgBsACAAIAAgACAAIAAgACAAOgAgAG8AcAB0AGkAbwBuAGEAbAAgAGsAZQB5AHcAbwByAGQAIABcACIATABCAEwAXAAiACAAdABvACAAaQBuAGMAbAB1AGQAZQAgAGwAYQBiAGUAbABzACAAaQBuACAAbwB1AHQAcAB1AHQAIAAoAGkAZwBuAG8AcgBlAGQAIABpAG4AIABcACIAUwBUAFIAXAAiACAAbQBvAGQAZQApAFwAbgAtACAAcAByAGUAYwAgACAAIAAgACAAIAA6ACAAbwBwAHQAaQBvAG4AYQBsACAAZABlAGMAaQBtAGEAbAAgAHAAcgBlAGMAaQBzAGkAbwBuACAAdABvACAAcgBvAHUAbgBkACAAdABvACAAKABkAGUAZgBhAHUAbAB0ACAAPQAgADMAKQBcAG4AXABuAFIAZQB0AHUAcgBuAHMAOgBcAG4ALQAgAFQAaABlACAAdgBhAGwAdQBlAHMAIABpAG0AbQBlAGQAaQBhAHQAZQBsAHkAIABhAGIAbwB2AGUAIABhAG4AZAAgAGIAZQBsAG8AdwAgAHQAaABlACAAdABhAHIAZwBlAHQAIAAoAG8AcgAgAGEAbABzAG8AIAB0AGgAZQAgAHQAYQByAGcAZQB0ACwAIABpAGYAIABcACIASQBOAEMAXAAiACkAXABuAC0AIABPAHUAdABwAHUAdAAgAGEAcwAgAGEAcgByAGEAeQAgACgAdgBlAHIAdABpAGMAYQBsACAAbwByACAAaABvAHIAaQB6AG8AbgB0AGEAbAApACwAIABzAHQAcgBpAG4AZwAsACAAbwByACAAbABhAGIAZQBsAGUAZAAgAGEAcgByAGEAeQBcAG4AXABuACoALwBcAG4AUwBUAEEAVABfAFYAQQBMAF8AQgBSAEEAQwBLAEUAVAAgAD0AIABMAEEATQBCAEQAQQAoAFQAZQBzAHQAQQByAHIAYQB5ACwAIABUAGEAcgBnAGUAdAAsACAAWwBpAG4AYwBsAF0ALAAgAFsAbQBvAGQAZQBdACwAIABbAGwAYgBsAF0ALAAgAFsAcAByAGUAYwBdACwAXABuACAAIAAgACAATABFAFQAKABcAG4AIAAgACAAIAAgACAAIAAgAHAAcgBlAGMALAAgAEkARgAoAEkAUwBPAE0ASQBUAFQARQBEACgAcAByAGUAYwApACwAIAAzACwAIABwAHIAZQBjACkALABcAG4AIAAgACAAIAAgACAAIAAgAG0AbwBkAGUALAAgAFUAUABQAEUAUgAoAEkARgAoAEkAUwBPAE0ASQBUAFQARQBEACgAbQBvAGQAZQApACwAIABcACIAVgBFAFIAXAAiACwAIABtAG8AZABlACkAKQAsAFwAbgAgACAAIAAgACAAIAAgACAAbABiAGwALAAgAFUAUABQAEUAUgAoAEkARgAoAEkAUwBPAE0ASQBUAFQARQBEACgAbABiAGwAKQAsACAAXAAiAFwAIgAsACAAbABiAGwAKQApACwAXABuACAAIAAgACAAIAAgACAAIABsAGIAbABfAHYAYQBsACwAIABsAGIAbAAgAD0AIABcACIATABCAEwAXAAiACwAXABuACAAIAAgACAAIAAgACAAIABpAG4AYwBsACwAIABVAFAAUABFAFIAKABJAEYAKABJAFMATwBNAEkAVABUAEUARAAoAGkAbgBjAGwAKQAsACAAXAAiAEkATgBDAFwAIgAsACAAaQBuAGMAbAApACkALABcAG4AIAAgACAAIAAgACAAIAAgAFwAbgAgACAAIAAgACAAIAAgACAALwAvACAAQwBvAG0AcAB1AHQAZQAgAGIAbwB1AG4AZABpAG4AZwAgAHYAYQBsAHUAZQBzAFwAbgAgACAAIAAgACAAIAAgACAAbABvAHcAZQByACwAIABNAEEAWAAoAEYASQBMAFQARQBSACgAVABlAHMAdABBAHIAcgBhAHkALAAgAFQAZQBzAHQAQQByAHIAYQB5ACAAPAAgAFQAYQByAGcAZQB0ACkAKQAsAFwAbgAgACAAIAAgACAAIAAgACAAdQBwAHAAZQByACwAIABNAEkATgAoAEYASQBMAFQARQBSACgAVABlAHMAdABBAHIAcgBhAHkALAAgAFQAZQBzAHQAQQByAHIAYQB5ACAAPgAgAFQAYQByAGcAZQB0ACkAKQAsAFwAbgAgACAAIAAgACAAIAAgACAAXABuACAAIAAgACAAIAAgACAAIAAvAC8AIABCAHUAaQBsAGQAIAB2AGEAbAB1AGUAIABsAGkAcwB0ACAAYgBhAHMAZQBkACAAbwBuACAAaQBuAGMAbAB1AHMAaQBvAG4AXABuACAAIAAgACAAIAAgACAAIAB2AGEAbABfAGEAcgByAGEAeQAsACAASQBGACgAaQBuAGMAbAAgAD0AIABcACIASQBOAEMAXAAiACwAIABWAFMAVABBAEMASwAoAGwAbwB3AGUAcgAsACAAVABhAHIAZwBlAHQALAAgAHUAcABwAGUAcgApACwAIABWAFMAVABBAEMASwAoAGwAbwB3AGUAcgAsACAAdQBwAHAAZQByACkAKQAsAFwAbgAgACAAIAAgACAAIAAgACAAdgBhAGwAXwBhAHIAcgBhAHkAXwByACwAIABSAE8AVQBOAEQAKAB2AGEAbABfAGEAcgByAGEAeQAsACAAcAByAGUAYwApACwAXABuACAAIAAgACAAIAAgACAAIABcAG4AIAAgACAAIAAgACAAIAAgAC8ALwAgAEMAbwByAHIAZQBzAHAAbwBuAGQAaQBuAGcAIABsAGEAYgBlAGwAIABsAGkAcwB0AFwAbgAgACAAIAAgACAAIAAgACAAbABiAGwAXwBhAHIAcgBhAHkALAAgAEkARgAoAGkAbgBjAGwAIAA9ACAAXAAiAEkATgBDAFwAIgAsACAAewBcACIATABvAHcAZQByAFwAIgA7ACAAXAAiAFQAYQByAGcAZQB0AFwAIgA7ACAAXAAiAFUAcABwAGUAcgBcACIAfQAsACAAewBcACIATABvAHcAZQByAFwAIgA7ACAAXAAiAFUAcABwAGUAcgBcACIAfQApACwAXABuACAAIAAgACAAIAAgACAAIABcAG4AIAAgACAAIAAgACAAIAAgAC8ALwAgAE8AdQB0AHAAdQB0ACAAcwBlAGwAZQBjAHQAbwByAFwAbgAgACAAIAAgACAAIAAgACAAbwB1AHQAcAB1AHQALAAgAFMAVwBJAFQAQwBIACgAXABuACAAIAAgACAAIAAgACAAIAAgACAAIAAgAG0AbwBkAGUALABcAG4AIAAgACAAIAAgACAAIAAgACAAIAAgACAAXAAiAFMAVABSAFwAIgAsACAAXAAiACgAXAAiACAAJgAgAFQARQBYAFQASgBPAEkATgAoAFwAIgAgADoAIABcACIALAAgACwAIABGAEkAWABFAEQAKAB2AGEAbABfAGEAcgByAGEAeQBfAHIALAAgAHAAcgBlAGMAKQApACAAJgAgAFwAIgApAFwAIgAsAFwAbgAgACAAIAAgACAAIAAgACAAIAAgACAAIABcACIASABPAFIAXAAiACwAIABJAEYAKABcAG4AIAAgACAAIAAgACAAIAAgACAAIAAgACAAIAAgACAAIABsAGIAbABfAHYAYQBsACwAXABuACAAIAAgACAAIAAgACAAIAAgACAAIAAgACAAIAAgACAAVgBTAFQAQQBDAEsAKABUAFIAQQBOAFMAUABPAFMARQAoAGwAYgBsAF8AYQByAHIAYQB5ACkALAAgAFQAUgBBAE4AUwBQAE8AUwBFACgAdgBhAGwAXwBhAHIAcgBhAHkAXwByACkAKQAsAFwAbgAgACAAIAAgACAAIAAgACAAIAAgACAAIAAgACAAIAAgAFQAUgBBAE4AUwBQAE8AUwBFACgAdgBhAGwAXwBhAHIAcgBhAHkAXwByACkAXABuACAAIAAgACAAIAAgACAAIAAgACAAIAAgACkALABcAG4AIAAgACAAIAAgACAAIAAgACAAIAAgACAAXAAiAFYARQBSAFwAIgAsACAASQBGACgAbABiAGwAXwB2AGEAbAAsACAASABTAFQAQQBDAEsAKABsAGIAbABfAGEAcgByAGEAeQAsACAAdgBhAGwAXwBhAHIAcgBhAHkAXwByACkALAAgAHYAYQBsAF8AYQByAHIAYQB5AF8AcgApACwAXABuACAAIAAgACAAIAAgACAAIAAgACAAIAAgAHYAYQBsAF8AYQByAHIAYQB5AF8AcgAgAC8ALwAgAGYAYQBsAGwAYgBhAGMAawAgAGQAZQBmAGEAdQBsAHQAXABuACAAIAAgACAAIAAgACAAIAApACwAXABuACAAIAAgACAAIAAgACAAIABvAHUAdABwAHUAdABcAG4AIAAgACAAIAApAFwAbgApADsAIgB9ACwAewAiAHAAYQB0AGgAIgA6ACIALwBwAHIAbwBqAGUAYwB0AHMALwBOAHUAbQBOAG8AdABlACIALAAiAHQAZQB4AHQAIgA6ACIALwAqACAATgBVAE0ATgBPAFQARQBfAEUATgBHAEkATgBFAEUAUgBJAE4ARwA6AFwAbgAgACAAIABQAHUAcgBwAG8AcwBlADoAXABuACAAIAAgAEMAbwBuAHYAZQByAHQAcwAgAGEAIABuAHUAbQBiAGUAcgAgAGkAbgB0AG8AIAAqACoAZQBuAGcAaQBuAGUAZQByAGkAbgBnACAAbgBvAHQAYQB0AGkAbwBuACoAKgAgACgAaQAuAGUALgAsACAAZQB4AHAAbwBuAGUAbgB0ACAAaQBzACAAYQBsAHcAYQB5AHMAIABhACAAbQB1AGwAdABpAHAAbABlACAAbwBmACAAMwApAC4AXABuAFwAbgAgACAAIABSAGUAdAB1AHIAbgBzADoAXABuACAAIAAgAEEAIAB0AGUAeAB0ACAAcwB0AHIAaQBuAGcAIABpAG4AIAB0AGgAZQAgAGYAbwByAG0AIABvAGYAIABgAFgALgBYAFgARQArAFkAWQBgACwAIAB3AGgAZQByAGUAIABgAFkAWQBgACAAaQBzACAAYQAgAG0AdQBsAHQAaQBwAGwAZQAgAG8AZgAgADMALgBcAG4AXABuACAAIAAgAFAAYQByAGEAbQBlAHQAZQByAHMAOgBcAG4AIAAgACAALQAgAGkAbgBwAHUAdAAgACgAcgBlAHEAdQBpAHIAZQBkACkAOgAgAEEAIABuAHUAbQBlAHIAaQBjACAAdgBhAGwAdQBlACAAdABvACAAYwBvAG4AdgBlAHIAdAAuAFwAbgAgACAAIAAtACAAcAByAGUAYwAgACgAbwBwAHQAaQBvAG4AYQBsACkAOgAgAE4AdQBtAGIAZQByACAAbwBmACAAZABlAGMAaQBtAGEAbAAgAHAAbABhAGMAZQBzACAAdABvACAAcwBoAG8AdwAgACgAZABlAGYAYQB1AGwAdAAgAD0AIAAyACkAXABuAFwAbgAgACAAIABOAG8AdABlAHMAOgBcAG4AIAAgACAALQAgAFUAcwBlAGYAdQBsACAAZgBvAHIAIABzAGMAaQBlAG4AdABpAGYAaQBjAC8AZQBuAGcAaQBuAGUAZQByAGkAbgBnACAAZgBpAGUAbABkAHMAIAB3AGgAZQByAGUAIABTAEkALQBwAHIAZQBmAGkAeAAgAGEAbABpAGcAbgBtAGUAbgB0ACAAbQBhAHQAdABlAHIAcwAuAFwAbgAgACAAIAAtACAAUwBpAG0AaQBsAGEAcgAgAHQAbwAgAHMAYwBpAGUAbgB0AGkAZgBpAGMAIABuAG8AdABhAHQAaQBvAG4ALAAgAGIAdQB0ACAAZQB4AHAAbwBuAGUAbgB0ACAAaQBzACAAYwBvAG4AcwB0AHIAYQBpAG4AZQBkACAAdABvACAAbQB1AGwAdABpAHAAbABlAHMAIABvAGYAIAAzAC4AXABuACAAIAAgAC0AIABBAHUAdABvAG0AYQB0AGkAYwBhAGwAbAB5ACAAcgBvAHUAbgBkAHMAIAB0AGgAZQAgAG0AYQBuAHQAaQBzAHMAYQAgAHQAbwAgAHQAaABlACAAcwBwAGUAYwBpAGYAaQBlAGQAIABwAHIAZQBjAGkAcwBpAG8AbgAuAFwAbgBcAG4AIAAgACAARQB4AGEAbQBwAGwAZQA6AFwAbgAgACAAIAAgACAATgBVAE0ATgBPAFQARQBfAEUATgBHAEkATgBFAEUAUgBJAE4ARwAoADEAMgAzADQANQA2ADcAKQBcAG4AIAAgACAAIAAgAJIhIABcACIAMQAuADIAMwBFACsAMAA2AFwAIgBcAG4AXABuACAAIAAgACAAIABOAFUATQBOAE8AVABFAF8ARQBOAEcASQBOAEUARQBSAEkATgBHACgAMAAuADAAMAAwADQANwA4ACwAIAAzACkAXABuACAAIAAgACAAIACSISAAXAAiADQANwA4AC4AMAAwADAARQAtADAANgBcACIAXABuACoALwBcAG4AXABuAE4AVQBNAE4ATwBUAEUAXwBFAE4ARwBJAE4ARQBFAFIASQBOAEcAIAA9ACAATABBAE0AQgBEAEEAKABpAG4AcAB1AHQALAAgAFsAcAByAGUAYwBdACwAXABuACAAIAAgACAATABFAFQAKABcAG4AIAAgACAAIAAgACAAIAAgAC8ALwAgAFAAcgBlAGMAaQBzAGkAbwBuACAAZABlAGYAYQB1AGwAdAAgAHQAbwAgADIAIABpAGYAIABvAG0AaQB0AHQAZQBkAFwAbgAgACAAIAAgACAAIAAgACAAcAByAGUAYwAsACAASQBGACgASQBTAE8ATQBJAFQAVABFAEQAKABwAHIAZQBjACkALAAgADIALAAgAHAAcgBlAGMAKQAsAFwAbgBcAG4AIAAgACAAIAAgACAAIAAgAC8ALwAgAEMAbwBtAHAAdQB0AGUAIABlAHgAcABvAG4AZQBuAHQAIAAoAHIAbwB1AG4AZABlAGQAIABkAG8AdwBuACAAdABvACAAbgBlAGEAcgBlAHMAdAAgAG0AdQBsAHQAaQBwAGwAZQAgAG8AZgAgADMAKQBcAG4AIAAgACAAIAAgACAAIAAgAHAAbwB3AGUAcgAsACAAVABSAFUATgBDACgATABPAEcAMQAwACgAQQBCAFMAKABpAG4AcAB1AHQAKQApACkALABcAG4AIAAgACAAIAAgACAAIAAgAGQAaQB2AGkAcwBvAHIALAAgAHAAbwB3AGUAcgAgAC0AIABNAE8ARAAoAHAAbwB3AGUAcgAsACAAMwApACwAXABuAFwAbgAgACAAIAAgACAAIAAgACAALwAvACAATgBvAHIAbQBhAGwAaQB6AGUAIABpAG4AcAB1AHQAIAB2AGEAbAB1AGUAIAB0AG8AIABtAGEAbgB0AGkAcwBzAGEAXABuACAAIAAgACAAIAAgACAAIABhAGQAagB1AHMAdAAsACAAMQAwACAAXgAgAGQAaQB2AGkAcwBvAHIALABcAG4AIAAgACAAIAAgACAAIAAgAHYAYQBsAHUAZQAsACAAUgBPAFUATgBEACgAaQBuAHAAdQB0ACAALwAgAGEAZABqAHUAcwB0ACwAIABwAHIAZQBjACkALABcAG4AXABuACAAIAAgACAAIAAgACAAIAAvAC8AIABGAG8AcgBtAGEAdAAgAHMAdQBmAGYAaQB4ACAAYQBzACAARQArADAAMwAgAHMAdAB5AGwAZQBcAG4AIAAgACAAIAAgACAAIAAgAHMAdQBmAGYALAAgAFwAIgBFAFwAIgAgACYAIABJAEYAKABkAGkAdgBpAHMAbwByACAAPgA9ACAAMAAsACAAXAAiACsAXAAiACwAIABcACIAXAAiACkAIAAmACAAVABFAFgAVAAoAGQAaQB2AGkAcwBvAHIALAAgAFwAIgAwADAAXAAiACkALABcAG4AXABuACAAIAAgACAAIAAgACAAIAAvAC8AIABDAG8AbQBwAG8AcwBlACAAZgBvAHIAbQBhAHQAdABlAGQAIABvAHUAdABwAHUAdABcAG4AIAAgACAAIAAgACAAIAAgAG8AdQB0AHAAdQB0ACwAIABUAEUAWABUACgAdgBhAGwAdQBlACwAIABcACIAMAAuAFwAIgAgACYAIABSAEUAUABUACgAXAAiADAAXAAiACwAIABwAHIAZQBjACkAKQAgACYAIABzAHUAZgBmACwAXABuACAAIAAgACAAIAAgACAAIABvAHUAdABwAHUAdABcAG4AIAAgACAAIAApAFwAbgApADsAXABuAFwAbgAvACoAIABOAFUATQBOAE8AVABFAF8ATQBBAEcATgBJAFQAVQBEAEUAXABuACAAIAAgAFAAdQByAHAAbwBzAGUAOgBcAG4AIAAgACAAQwBvAG4AdgBlAHIAdABzACAAYQAgAG4AdQBtAGUAcgBpAGMAIAB2AGEAbAB1AGUAIABpAG4AdABvACAAYQAgAGgAdQBtAGEAbgAtAHIAZQBhAGQAYQBiAGwAZQAgAHMAdAByAGkAbgBnACAAdQBzAGkAbgBnAFwAbgAgACAAIABtAGUAdAByAGkAYwAgAFMASQAtAHMAdAB5AGwAZQAgAHMAdQBmAGYAaQB4AGUAcwAgACgAZQAuAGcALgAsACAAXAAiAGsAXAAiACwAIABcACIATQBcACIALAAgAFwAIgBHAFwAIgApAC4AXABuAFwAbgAgACAAIABQAGEAcgBhAG0AZQB0AGUAcgBzADoAXABuACAAIAAgAC0AIABpAG4AcAB1AHQAIAAoAHIAZQBxAHUAaQByAGUAZAApADoAIABOAHUAbQBlAHIAaQBjACAAdgBhAGwAdQBlACAAdABvACAAYwBvAG4AdgBlAHIAdAAuAFwAbgAgACAAIAAtACAAZABlAGMAcAByAGUAYwAgACgAbwBwAHQAaQBvAG4AYQBsACkAOgAgAEQAZQBjAGkAbQBhAGwAIABwAHIAZQBjAGkAcwBpAG8AbgAgAHQAbwAgAHIAbwB1AG4AZAAgAHQAaABlACAAbwB1AHQAcAB1AHQAIAAoAGQAZQBmAGEAdQBsAHQAIAA9ACAAMwApAC4AXABuAFwAbgAgACAAIABSAGUAdAB1AHIAbgBzADoAXABuACAAIAAgAEEAIABzAHQAcgBpAG4AZwAgAHcAaQB0AGgAIAB0AGgAZQAgAG4AdQBtAGIAZQByACAAcwBjAGEAbABlAGQAIABhAG4AZAAgAHMAdQBmAGYAaQB4AGUAZAAgAHUAcwBpAG4AZwAgAGMAbwBtAG0AbwBuACAAbQBlAHQAcgBpAGMAIABuAG8AdABhAHQAaQBvAG4ALgBcAG4AXABuACAAIAAgAE4AbwB0AGUAcwA6AFwAbgAgACAAIAAtACAAUwB1AHAAcABvAHIAdABzACAAcwBjAGEAbABpAG4AZwAgAHUAcAAgAHQAbwAgADEAMABeADMAMAAuAFwAbgAgACAAIAAtACAAUwB1AGYAZgBpAHgAIABwAHIAbwBnAHIAZQBzAHMAaQBvAG4AOgAgAFwAIgBrAFwAIgAsACAAXAAiAE0AXAAiACwAIABcACIARwBcACIALAAgAFwAIgBUAFwAIgAsACAAXAAiAFAAXAAiACwAIABcACIARQBcACIALAAgAFwAIgBaAFwAIgAsACAAXAAiAFkAXAAiACwAIABcACIAUgBcACIALAAgAFwAIgBRAFwAIgBcAG4AIAAgACAALQAgAFYAYQBsAHUAZQBzACAAdQBuAGQAZQByACAAMQAwAF4AMwAgAHIAZQB0AHUAcgBuACAAdABoAGUAIAByAGEAdwAgAHYAYQBsAHUAZQAgAHcAaQB0AGgAIABhACAAZABhAHMAaAA6ACAAYABcACIAFCBcACIAYABcAG4AIAAgACAALQAgAEUAeAB0AHIAZQBtAGUAbAB5ACAAbABhAHIAZwBlACAAdgBhAGwAdQBlAHMAIABhAHIAZQAgAGMAYQBwAHAAZQBkACAAYQB0ACAAdABoAGUAIABoAGkAZwBoAGUAcwB0ACAAawBuAG8AdwBuACAAcwB1AGYAZgBpAHgALgBcAG4AIAAgACAALQAgAEQAZQBjAGkAbQBhAGwAIAByAG8AdQBuAGQAaQBuAGcAIABpAHMAIABvAHAAdABpAG8AbgBhAGwAIABhAG4AZAAgAGQAZQBmAGEAdQBsAHQAcwAgAHQAbwAgADMAIABkAGkAZwBpAHQAcwAuAFwAbgBcAG4AIAAgACAARQB4AGEAbQBwAGwAZQBzADoAXABuACAAIAAgACAAIABOAFUATQBOAE8AVABFAF8ATQBBAEcATgBJAFQAVQBEAEUAKAAxADIAMwA0ADUANgApACAAIAAgACAAIAAgACAAIAAgAJIhIABcACIAMQAyADMALgA0ADUANgAgAGsAXAAiAFwAbgAgACAAIAAgACAATgBVAE0ATgBPAFQARQBfAE0AQQBHAE4ASQBUAFUARABFACgAOQA4ADcANgA1ADQAMwAyADEALAAgADIAKQAgACAAIACSISAAXAAiADkAOAA3AC4ANgA1ACAATQBcACIAXABuACAAIAAgACAAIABOAFUATQBOAE8AVABFAF8ATQBBAEcATgBJAFQAVQBEAEUAKAAwAC4AMAAxADUAKQAgACAAIAAgACAAIAAgACAAIAAgAJIhIABcACIAMAAuADAAMQA1ACAAFCBcACIAXABuACoALwBcAG4AXABuAE4AVQBNAE4ATwBUAEUAXwBNAEEARwBOAEkAVABVAEQARQAgAD0AIABMAEEATQBCAEQAQQAoAGkAbgBwAHUAdAAsACAAWwBkAGUAYwBwAHIAZQBjAF0ALABcAG4AIAAgACAAIABMAEUAVAAoAFwAbgAgACAAIAAgACAAIAAgACAAbQBhAHgALAAgADMAMAAsACAAIAAvAC8AIABNAGEAeABpAG0AdQBtACAAcABvAHcAZQByACAAbwBmACAAdABlAG4AIAB0AG8AIABhAHYAbwBpAGQAIABvAHYAZQByAGYAbABvAHcAXABuACAAIAAgACAAIAAgACAAIABkAGUAYwBwAHIAZQBjACwAIABJAEYAKABJAFMATwBNAEkAVABUAEUARAAoAGQAZQBjAHAAcgBlAGMAKQAsACAAMwAsACAAZABlAGMAcAByAGUAYwApACwAIAAgAC8ALwAgAEQAZQBmAGEAdQBsAHQAIABwAHIAZQBjAGkAcwBpAG8AbgBcAG4AIAAgACAAIAAgACAAIAAgAGkAbgBwAHUAdAAsACAAQQBCAFMAKABpAG4AcAB1AHQAKQAsACAAIAAvAC8AIABBAGIAcwBvAGwAdQB0AGUAIAB2AGEAbAB1AGUAIABmAG8AcgAgAG0AYQBnAG4AaQB0AHUAZABlACAAYwBhAGwAYwB1AGwAYQB0AGkAbwBuAFwAbgBcAG4AIAAgACAAIAAgACAAIAAgAC8ALwAgAEMAYQBsAGMAdQBsAGEAdABlACAAdABoAGUAIABvAHIAZABlAHIAIABvAGYAIABtAGEAZwBuAGkAdAB1AGQAZQ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CgAZABpAHYAaQBzAG8AcgAgADwAPQAgAG0AYQB4ACwAIAAxADAAIABeACAAZABpAHYAaQBzAG8AcgAsACAAMQAwACAAXgAgAG0AYQB4ACkALABcAG4AIAAgACAAIAAgACAAIAAgAFwAbgAgACAAIAAgACAAIAAgACAALwAvACAAUwBjAGEAbABlAGQAIAB2AGEAbAB1AGUAIABhAG4AZAAgAHMAdQBmAGYAaQB4AFwAbgAgACAAIAAgACAAIAAgACAAdgBhAGwAdQBlACwAIABpAG4AcAB1AHQAIAAvACAAYQBkAGoAdQBzAHQALABcAG4AIAAgACAAIAAgACAAIAAgAHMAdQBmAGYALAAgAFMAVwBJAFQAQwBIACgAXABuACAAIAAgACAAIAAgACAAIAAgACAAIAAgAGQAaQB2AGkAcwBvAHIALABcAG4AIAAgACAAIAAgACAAIAAgACAAIAAgACAAMAAsACAAXAAiABQgXAAiACwAIAAzACwAIABcACIAawBcACIALAAgADYALAAgAFwAIgBNAFwAIgAsACAAOQAsACAAXAAiAEcAXAAiACwAIAAxADIALAAgAFwAIgBUAFwAIgAsAFwAbgAgACAAIAAgACAAIAAgACAAIAAgACAAIAAxADUALAAgAFwAIgBQAFwAIgAsACAAMQA4ACwAIABcACIARQBcACIALAAgADIAMQAsACAAXAAiAFoAXAAiACwAIAAyADQALAAgAFwAIgBZAFwAIgAsACAAMgA3ACwAIABcACIAUgBcACIALABcAG4AIAAgACAAIAAgACAAIAAgACAAIAAgACAAMwAwACwAIABcACIAUQBcACIALAAgAFwAIgA/AD8AXAAiAFwAbgAgACAAIAAgACAAIAAgACAAKQAsAFwAbgAgACAAIAAgACAAIAAgACAAXABuACAAIAAgACAAIAAgACAAIAAvAC8AIABGAGkAbgBhAGwAIABvAHUAdABwAHUAdABcAG4AIAAgACAAIAAgACAAIAAgAG8AdQB0AHAAdQB0ACwAIABGAEkAWABFAEQAKAB2AGEAbAB1AGUALAAgAGQAZQBjAHAAcgBlAGMALAAgAFQAUgBVAEUAKQAgACYAIABcACIAIABcACIAIAAmACAAcwB1AGYAZgAsAFwAbgAgACAAIAAgACAAIAAgACAAbwB1AHQAcAB1AHQAXABuACAAIAAgACAAKQBcAG4AKQA7AFwAbgBcAG4ALwAqACAATgBVAE0ATgBPAFQARQBfAFAATwBXAEUAUgBUAEEARwA6AFwAbgAgACAAIABQAHUAcgBwAG8AcwBlADoAXABuACAAIAAgAFIAZQB0AHUAcgBuAHMAIABvAG4AbAB5ACAAdABoAGUAIABlAHgAcABvAG4AZQBuAHQAIAB0AGEAZwAgAHAAbwByAHQAaQBvAG4AIABvAGYAIABhACAAbgB1AG0AYgBlAHIAGSBzACAAcwBjAGkAZQBuAHQAaQBmAGkAYwAgAG8AcgAgAHAAbwB3AGUAcgAtAG8AZgAtAHQAZQBuACAAbgBvAHQAYQB0AGkAbwBuAC4AXABuACAAIAAgAFQAaABpAHMAIABkAG8AZQBzACAAbgBvAHQAIABpAG4AYwBsAHUAZABlACAAdABoAGUAIABjAG8AZQBmAGYAaQBjAGkAZQBuAHQAIAAUICAAagB1AHMAdAAgAHQAaABlACAAcwB5AG0AYgBvAGwAaQBjACAAcgBlAHAAcgBlAHMAZQBuAHQAYQB0AGkAbwBuACAAbwBmACAAdABoAGUAIABzAGMAYQBsAGUALgBcAG4AXABuACAAIAAgAFIAZQB0AHUAcgBuAHMAOgBcAG4AIAAgACAALQAgAEUAaQB0AGgAZQByACAAYQBuACAAXAAiAEUAKwBuAG4AXAAiACAAdABhAGcAIABvAHIAIABhACAAXAAiADEAMABeAG4AXAAiACAAbABhAGIAZQBsACAAcgBlAHAAcgBlAHMAZQBuAHQAaQBuAGcAIAB0AGgAZQAgAHAAbwB3AGUAcgAgAG8AZgAgADEAMAAuAFwAbgBcAG4AIAAgACAAUABhAHIAYQBtAGUAdABlAHIAcwA6AFwAbgAgACAAIAAtACAAaQBuAHAAdQB0ACAAKAByAGUAcQB1AGkAcgBlAGQAKQA6ACAAQQAgAHAAbwBzAGkAdABpAHYAZQAgAG4AdQBtAGUAcgBpAGMAIAB2AGEAbAB1AGUALgBcAG4AIAAgACAALQAgAG0AbwBkAGUAIAAoAG8AcAB0AGkAbwBuAGEAbAApADoAXABuACAAIAAgACAAIAAgACAAMAAgACgAZABlAGYAYQB1AGwAdAApADoAIABcACIARQArAG4AbgBcACIAIABmAG8AcgBtAGEAdAAgACgAZQAuAGcALgAsACAAXAAiAEUAKwAwADMAXAAiACkAXABuACAAIAAgACAAIAAgACAAMQAgACAAIAAgACAAIAAgACAAIAA6ACAAXAAiADEAMABeAG4AXAAiACAAZgBvAHIAbQBhAHQAIAAoAGUALgBnAC4ALAAgAFwAIgAxADAAXgAzAFwAIgApAFwAbgBcAG4AIAAgACAATgBvAHQAZQBzADoAXABuACAAIAAgAC0AIABUAGgAaQBzACAAZgB1AG4AYwB0AGkAbwBuACAAaQBzACAAaQBuAHQAZQBuAGQAZQBkACAAZgBvAHIAIABsAGEAYgBlAGwAaQBuAGcALAAgAGYAbwByAG0AYQB0AHQAaQBuAGcALAAgAG8AcgAgAGEAbgBuAG8AdABhAHQAaQBvAG4AIAAUICAAbgBvAHQAIABmAG8AcgAgAG0AYQB0AGgALgBcAG4AIAAgACAALQAgAFQAaABlACAAYwBvAGUAZgBmAGkAYwBpAGUAbgB0ACAAKABtAGEAbgB0AGkAcwBzAGEAKQAgAGkAcwAgAG4AbwB0ACAAaQBuAGMAbAB1AGQAZQBkACAAaQBuACAAdABoAGUAIAByAGUAcwB1AGwAdAAuAFwAbgAgACAAIAAtACAARQBxAHUAaQB2AGEAbABlAG4AdAAgAHQAbwAgAGUAeAB0AHIAYQBjAHQAaQBuAGcAIAB0AGgAZQAgAGUAeABwAG8AbgBlAG4AdAAgAGYAcgBvAG0AIABzAGMAaQBlAG4AdABpAGYAaQBjACAAbgBvAHQAYQB0AGkAbwBuAC4AXABuACAAIAAgAC0AIABNAG8AZABlACAAMgAgAGYAcgBvAG0AIABlAGEAcgBsAGkAZQByACAAdgBlAHIAcwBpAG8AbgBzACAAaABhAHMAIABiAGUAZQBuACAAcgBlAG0AbwB2AGUAZAAgAGEAcwAgAHIAZQBkAHUAbgBkAGEAbgB0ACAAKABFAHgAYwBlAGwAIABzAHUAcABwAG8AcgB0AHMAIABpAHQAIAB2AGkAYQAgAFQARQBYAFQAKAAuAC4ALgAsACAAXAAiADAALgAwADAARQArADAAMABcACIAKQApAFwAbgBcAG4AIAAgACAARQB4AGEAbQBwAGwAZQBzADoAXABuACAAIAAgACAAIABOAFUATQBOAE8AVABFAF8AUABPAFcARQBSAFQAQQBHACgANAA1ADYAMAApACAAIAAgACAAIAAgACAAkiEgAFwAIgBFACsAMAAzAFwAIgBcAG4AIAAgACAAIAAgAE4AVQBNAE4ATwBUAEUAXwBQAE8AVwBFAFIAVABBAEcAKAAwAC4AMAAwADEAMgAzACwAIAAxACkAIACSISAAXAAiADEAMABeAC0AMwBcACIAXABuACAAIAAgACAAIABUAEUAWABUAEoATwBJAE4AKABcACIAXAAiACwAIAAsACAAYwBvAGUAZgBmACwAIABOAFUATQBOAE8AVABFAF8AUABPAFcARQBSAFQAQQBHACgAeAApACkAIACSISAARgB1AGwAbAAgAGwAYQBiAGUAbABcAG4AXABuACAAIAAgAFMAZQBlACAAYQBsAHMAbwA6AFwAbgAgACAAIAAtACAATgBVAE0ATgBPAFQARQBfAE0AQQBHAE4ASQBUAFUARABFACAAFCAgAGEAZABkAHMAIABtAGUAdAByAGkAYwAgAHMAdQBmAGYAaQB4AGUAcwAgAGwAaQBrAGUAIABcACIAawBcACIALAAgAFwAIgBNAFwAIgAsACAAZQB0AGMALgBcAG4AIAAgACAALQAgAE4AVQBNAE4ATwBUAEUAXwBFAE4ARwBJAE4ARQBFAFIASQBOAEcAIAAUICAAaQBuAGMAbAB1AGQAZQBzACAAdABoAGUAIABjAG8AZQBmAGYAaQBjAGkAZQBuAHQAIAB3AGkAdABoACAAYQAgAGYAaQB4AGUAZAAgAGUAeABwAG8AbgBlAG4AdABcAG4AKgAvAFwAbgBcAG4AXABuAE4AVQBNAE4ATwBUAEUAXwBQAE8AVwBFAFIAVABBAEcAIAA9ACAATABBAE0AQgBEAEEAKABpAG4AcAB1AHQALAAgAFsAbQBvAGQAZQBdACwAXABuACAAIAAgACAATABFAFQAKABcAG4AIAAgACAAIAAgACAAIAAgAC8ALwAgAD0APQA9ACAAUwBlAHQAIABkAGUAZgBhAHUAbAB0ACAAbwB1AHQAcAB1AHQAIABtAG8AZABlACAAPQA9AD0AXABuACAAIAAgACAAIAAgACAAIAAvAC8AIABtAG8AZABlACAAPQAgADAAIACSISAAXAAiAEUAKwBuAG4AXAAiACAAKABkAGUAZgBhAHUAbAB0ACkAXABuACAAIAAgACAAIAAgACAAIAAvAC8AIABtAG8AZABlACAAPQAgADEAIACSISAAXAAiADEAMABeAG4AXAAiAFwAbgAgACAAIAAgACAAIAAgACAAbQBvAGQAZQAsACAASQBGACgASQBTAE8ATQBJAFQAVABFAEQAKABtAG8AZABlACkALAAgADAALAAgAG0AbwBkAGUAKQAsAFwAbgBcAG4AIAAgACAAIAAgACAAIAAgAC8ALwAgAD0APQA9ACAAQwBhAGwAYwB1AGwAYQB0AGUAIAB0AGgAZQAgAGIAYQBzAGUALQAxADAAIABlAHgAcABvAG4AZQBuAHQAIAA9AD0APQBcAG4AIAAgACAAIAAgACAAIAAgAC8ALwAgAFQAUgBVAE4AQwAoAEwATwBHADEAMAAoAC4ALgAuACkAKQAgAGcAaQB2AGUAcwAgAHUAcwAgAHQAaABlACAAbwByAGQAZQByAC0AbwBmAC0AbQBhAGcAbgBpAHQAdQBkAGUAIABwAG8AdwBlAHIAXABuACAAIAAgACAAIAAgACAAIABtAGEAZwAsACAAVABSAFUATgBDACgATABPAEcAMQAwACgAaQBuAHAAdQB0ACkAKQAsAFwAbgBcAG4AIAAgACAAIAAgACAAIAAgAC8ALwAgAD0APQA9ACAARgBvAHIAbQBhAHQAIABiAGEAcwBlAGQAIABvAG4AIABtAG8AZABlACAAPQA9AD0AXABuACAAIAAgACAAIAAgACAAIAAvAC8AIABNAG8AZABlACAAMAAgAJIhIABzAGMAaQBlAG4AdABpAGYAaQBjACAAdABhAGcAIAAoAGUALgBnAC4ALAAgAEUAKwAwADMAKQBcAG4AIAAgACAAIAAgACAAIAAgAC8ALwAgAE0AbwBkAGUAIAAxACAAkiEgAG0AYQB0AGgAIABlAHgAcAByAGUAcwBzAGkAbwBuACAAKABlAC4AZwAuACwAIAAxADAAXgAzACkAXABuACAAIAAgACAAIAAgACAAIAByAGUAcwB1AGwAdAAsACAAUwBXAEkAVABDAEgAKABcAG4AIAAgACAAIAAgACAAIAAgACAAIAAgACAAbQBvAGQAZQAsAFwAbgAgACAAIAAgACAAIAAgACAAIAAgACAAIAAwACwAIABcACIARQArAFwAIgAgACYAIABUAEUAWABUACgAbQBhAGcALAAgAFwAIgAwADAAXAAiACkALABcAG4AIAAgACAAIAAgACAAIAAgACAAIAAgACAAMQAsACAAXAAiADEAMABeAFwAIgAgACYAIABtAGEAZwAsAFwAbgAgACAAIAAgACAAIAAgACAAIAAgACAAIABcACIASQBuAHYAYQBsAGkAZAAgAG0AbwBkAGUAXAAiAFwAbgAgACAAIAAgACAAIAAgACAAKQAsAFwAbgBcAG4AIAAgACAAIAAgACAAIAAgAC8ALwAgAD0APQA9ACAAUgBlAHQAdQByAG4AIAByAGUAcwB1AGwAdAAgAD0APQA9AFwAbgAgACAAIAAgACAAIAAgACAAcgBlAHMAdQBsAHQAXABuACAAIAAgACAAKQBcAG4AKQA7AFwAbgBcAG4AIgB9AF0ALAAiAHAAcgBvAGoAZQBjAHQATgBhAG0AZQBzACIAOgBbACIAUgBFAFAAVABBAFIAUgBBAFkAIgAsACIAWABMAEMATQAiACwAIgBYAFgATABDAE0AIgAsACIARgBJAE4ARABfAFAAQwBUACIALAAiAFAAQwBUACIALAAiAE0AXwBTAE8AUgBUACIALAAiAEIARQBOAEYATwBSAEQAXwBQAFIATwBCAEEAQgBJAEwASQBUAFkAIgAsACIAQgBFAE4ARgBPAFIARAAiACwAIgBSAEEATgBEAEIARQBOAEYATwBSAEQAXwBTAEkATgBHAEwARQAiACwAIgBSAEEATgBEAEIARQBOAEYATwBSAEQAIgAsACIATABJAFMAVABfAEQASQBWAEkAUwBPAFIAUwAiACwAIgBTAEUARQBEAEUARABfAFYAQQBMAFUARQAiACwAIgBUAEEAQgBMAEUAXwBPAFUAVAAiACwAIgBIAEUAQQBEAEUAUgBTAF8ATwBVAFQAIgAsACIAQwBPAFAAWQBfAFIARQBWAEUAUgBTAEUAIgAsACIATABFAFQAVABFAFIAXwBHAFIAQQBEAEUAIgAsACIAUwBQAEwASQBUAEYAUgBBAEMAVABJAE8ATgAiACwAIgBGAEkATABUAEUAUgBXAEkATABEACIALAAiAEMATwBOAFQAQQBJAE4AUwAiACwAIgBQAFAAUwBDAF8ARwBFAFQATABBAFMAVAAiACwAIgBQAFAAUwBDAF8ATgBBAE0ARQBPAE4ATABZACIALAAiAFAAUABTAEMAXwBTAFAATABJAFQATgBBAE0ARQAiACwAIgBTAFAATABJAFQATgBBAE0ARQAiACwAIgBSAEEATgBEAFMAVABSAEkATgBHACIALAAiAFIAQQBOAEQARABJAEcASQBUAFMAIgAsACIAUgBBAE4ARABHAFIATwBVAFAAIgAsACIARgBSAEEAQwBfAEQASQBWACIALAAiAFQARQBYAFQAXwBDAE8ATgBEAEUATgBTAEUAIgAsACIATQBFAFQAQQBMAFMAIgAsACIAUwBVAE0AXwBBAFAAIgAsACIAQgBSAEEAQwBLAEUAVABTAF8AVABBAFIARwBFAFQAIgAsACIAQgBSAEEAQwBLAEUAVABTAF8AQQBSAFIAQQBZACIALAAiAEYATwBSAE0AQQBUAF8AQQBTAF8ATABJAFMAVAAiACwAIgBMAEkAUwBUAF8AVwBFAEkARwBIAFQAUwAiACwAIgBJAE4AVABNAEEATgBUACIALAAiAEYAUgBBAEMAIgAsACIAVABFAE0AUABfAEMARgAiACwAIgBUAEUATQBQAF8ARgBDACIALAAiAEgAQQBTAEMAQQBQACIALAAiAE0ARQBUAEEATABMAEkAQwBfAE0ARQBBAE4AIgAsACIARgBPAE8AVABJAE4AQwBIACIALAAiAEYATwBPAFQAXwBJAE4AQwBIACIALAAiAEIARQBTAFQARgBJAFQAIgAsACIASQBOAEMASABfAEMATwBOAFYARQBSAFQAIgAsACIAUgBBAE4ARwBFAF8AUABFAFIAQwBFAE4AVABfAE8ARgBfAFYAQQBMAFUARQAiACwAIgBSAEEATgBHAEUAXwBWAEEATABVAEUAXwBPAEYAXwBQAEUAUgBDAEUATgBUACIALAAiAFIAQQBOAEcARQBfAFAARQBSAEMARQBOAFQAXwBUAFIAQQBOAFMARgBFAFIAIgAsACIAUgBFAEMASQBQACIALAAiAFIATwBPAFQAXwBEAEkARwBJAFQAQQBMACIALAAiAFIATwBPAFQAXwBEAEkARwBJAFQAQQBMAF8AUwBVAEIAIgAsACIAUwBVAE0ARABJAEcASQBUAFMAIgAsACIAUgBPAE8AVABfAE4AVQBNAEUAUgBPACIALAAiAFMAVQBNAF8ASQBOAFQARQBHAEUAUgBTACIALAAiAFAATwBMAFkARwBPAE4AQQBMACIALAAiAFMAVQBNAF8AUgBBAE4ARwBFACIALAAiAFMARQBRAFUARQBOAEMARQBfAFIARQBQAEUAQQBUACIALAAiAFMARQBRAFUARQBOAEMARQBfAEIARQBUAFcAIgAsACIAUwBFAFEAVQBFAE4AQwBFAF8AQgBFAFQAVwBFAEUATgAiACwAIgBTAEUAUQBVAEUATgBDAEUAXwBCAFQAVwBOACIALAAiAEcARQBUAEQASQBHAEkAVABTACIALAAiAEcARQBUAEMASABBAFIAUwAiACwAIgBOAFUATQBfAE8ATgBMAFkAIgAsACIAQwBIAEEAUgBTAF8AQgBFAFQAVwBFAEUATgAiACwAIgBUAEUAWABUAEIARQBUAFcARQBFAE4AIgAsACIAUwBQAEwASQBUAFMAVABSAEkATgBHACIALAAiAFMAUABMAEkAVABEAEkARwBJAFQAUwAiACwAIgBDAE8AVQBOAFQAXwBJAE4AUwBUAEEATgBDAEUAIgAsACIARgBPAFIATQBfAFQARQBYAFQAIgAsACIAUwBUAFIASQBQAF8AQwBIAEEAUgBTACIALAAiAEYATwBSAE0AVABFAFgAVAAiACwAIgBHAEUAVABDAEUATABMACIALAAiAFkAQQBIAFQAWgBFAEUAIgAsACIARABfAE4AXwBEACIALAAiAEQATgBEACIALAAiAFIAQQBOAEQAVQBOAEkAUQBVAEUAIgAsACIATgBVAE0ATQBBAEcAIgAsACIATgBVAE0AUABPAFcAUgAiACwAIgBFAE4ARwBOAE8AVABFACIALAAiAEkATgBDAFIARABFAEMAUgAiACwAIgBQAE8ATABZAFIATwBPAFQAUwAiACwAIgBBAFAAUABSAE8AWABJAE0AQQBUAEUAXwBGAFIAQQBDAFQASQBPAE4AIgAsACIAVABPAEYAUgBBAEMAIgAsACIAVABPAF8ATQBBAE4AVABJAFMAUwBBACIALAAiAFYARQBOAE4AIgAsACIAVgBfAFIARQBMAEMATwBNAFAAIgAsACIAVgBfAEkATgBUAEUAUgBTAEUAQwBUACIALAAiAFYAXwBTAFkATQBEAEkARgBGACIALAAiAFYAXwBVAE4ASQBPAE4AIgAsACIASQBTAEkATgAiACwAIgBMAEkAUwBUAF8ARABVAFAARQBTACIALAAiAEQAVQBQAEUATABJAFMAVAAiACwAIgBDAE8AVQBOAFQARQBBAEMASAAiACwAIgBVAE4ASQBRAFUARQBTAE8AUgBUACIALAAiAE0ASQBOAFUAVABFAFMAXwBNAFMAIgAsACIATQBJAE4AVQBUAEUAUwBfAEgATQBTACIALAAiAE0ASQBOAFUAVABFAFMAXwBEAEgATQBTACIALAAiAE0ASQBOAFUAVABFAFMAXwBZAEQASABNAFMAIgAsACIAUwBFAEMATwBOAEQAUwBfAE0AUwAiACwAIgBTAEUAQwBPAE4ARABTAF8ASABNAFMAIgAsACIAUwBFAEMATwBOAEQAUwBfAEQASABNAFMAIgAsACIAUwBFAEMATwBOAEQAUwBfAFkARABIAE0AUwAiACwAIgBEAEEAWQBTAF8ARABIAE0AUwAiACwAIgBIAE8AVQBSAFMAXwBEAEUAQwBIAE0AUwAiACwAIgBIAE8AVQBSAFMAXwBIAE0AUwAiACwAIgBEAEEAWQBTAF8AWQBEAEgATQBTACIALAAiAEgATwBVAFIAUwBfAEQASABNAFMAIgAsACIASABPAFUAUgBTAF8AWQBEAEgATQBTACIALAAiAFkARQBBAFIAUwBfAFkARABIAE0AUwAiACwAIgBZAEUAQQBSAFMAXwBEAEgATQBTACIALAAiAEQAQQBUAEUAXwBUAE8AXwBIAEUAIgAsACIARABBAFQARQBfAEIAUABUAE8AQwBFACIALAAiAEQAQQBUAEUAXwBDAEUAVABPAEIAUAAiACwAIgBIAE8AVQBSAFMAXwBGAFIATwBNAEQARQBDACIALAAiAEgATwBVAFIAUwBfAFQATwBEAEUAQwAiACwAIgBEAEEAVABFAF8ARgBSAE8ATQBUAEUAWABUACIALAAiAEQAQQBUAEUAXwBHAEUAVABWAEEATAAiACwAIgBEAEEAVABFAF8AVABPAFQARQBYAFQAIgAsACIAUwBFAFIASQBBAEwAVABPAEQAQQBUAEUAIgAsACIAVABJAE0ARQBfAEYAUgBPAE0ATQBJAEwAIgAsACIAVABJAE0ARQBfAFQATwBEAEUAQwAiACwAIgBUAEkATQBFAF8AVABPAE0ASQBMACIALAAiAFQASQBNAEUAXwBEAEkARgBGACIALAAiAFMAVABBAFQAUwBfAE0ASQBOAE0AQQBYACIALAAiAFMAVABBAFQAUwBfAFMAUABBAE4AIgAsACIAUwBUAEEAVABTAEwASQBTAFQAIgAsACIAUQBVAEEATgBUAEkATABFAFMAIgAsACIAUwBUAEEAVABTAF8AVABJAEwARQBTACIALAAiAFQARQBTAFQAIgAsACIAUwBUAEEAVABTAF8AUABDAFQAXwBEAEkARgAiACwAIgBTAFQAQQBUAFMAXwBQAEMAVABfAEUAUgBSACIALAAiAFMAVABBAFQAUwBfAFAAQwBUAF8AQwBIAEcAIgAsACIAUwBUAEEAVABTAF8AUwBUAEQARQBSAFIAIgAsACIAQQBVAC4ASwBNACIALAAiAEEAVQAuAE0AIgAsACIARABBAFkALgBFAFAASAAuAFMAIgAsACIARABBAFkALgBTAEkARAAuAFMAIgAsACIARABBAFkALgBTAFQATAAuAFMAIgAsACIATQBPAE8ATgAuAE8AUgBCAC4ASwBNACIALAAiAE0ATwBPAE4ALgBPAFIAQgAuAEEAVQAiACwAIgBNAE8ATwBOAC4ATwBSAEIALgBUACIALAAiAE0ATwBPAE4ALgBQAC4AUwBJAEQAIgAsACIATQBPAE8ATgAuAFAALgBTAFkATgAiACwAIgBTAFUATgAuAFIALgBLAE0AIgAsACIAUwBVAE4ALgBSAC4AQQBVACIALAAiAFkAUgAuAEcAUgBHAC4ARAAiACwAIgBZAFIALgBHAFIARwAuAFMAIgAsACIAWQBSAC4ASgBVAEwALgBEACIALAAiAFkAUgAuAEoAVQBMAC4AUwAiACwAIgBZAFIALgBTAEkARAAuAEQAIgAsACIAWQBSAC4AUwBJAEQALgBTACIALAAiAFkAUgAuAFQAUgBQAC4ARAAiACwAIgBZAFIALgBUAFIAUAAuAFMAIgAsACIAWQBSAC4AQwBBAEwALgBEACIALAAiAFkAUgAuAEMAQQBMAC4AUwAiACwAIgBFAEEAUgBUAEgALgBSAC4ASwBNACIALAAiAEUAQQBSAFQASAAuAE0ALgBHACIALAAiAEUAQQBSAFQASAAuAEQALgBHACIALAAiAE0ATwBPAE4ALgBSAC4ASwBNACIALAAiAE0ATwBPAE4ALgBSAC4AVAAiACwAIgBNAE8ATwBOAC4ATQAuAFQAIgAsACIATQBPAE8ATgAuAEQALgBUACIALAAiAE0ATwBPAE4ALgBEAC4ARwAiACwAIgBNAE8ATwBOAC4ARwAuAFQAIgAsACIARQBBAFIAVABIAC4ATQAuAFMAIgAsACIAUwBVAE4ALgBNAC4AVAAiACwAIgBFAEEAUgBUAEgALgBFAEMAQwAiACwAIgBNAE8ATwBOAC4ARQBDAEMAIgAsACIARQBBAFIAVABIAC4ATwBCAEwAIgAsACIARABBAFkALgBTAEkARAAuAEgAIgAsACIARABBAFkALgBTAFQATAAuAEgAIgAsACIARABBAFkALgBFAFAASAAuAEgAIgAsACIATABJAEcASABUAC4ATQAiACwAIgBMAEkARwBIAFQAWQBSAC4ATQAiACwAIgBMAEkARwBIAFQAWQBSAC4AQQBVACIALAAiAFMAVQBOAC4ATQAuAEsARwAiACwAIgBFAEEAUgBUAEgALgBNAC4ASwBHACIALAAiAEQAQQBZAC4ARQBQAEgALgBNACIALAAiAEgATwBVAFIALgBFAFAASAAuAFMAIgAsACIARgBBAEMAVABPAFIAUwAiACwAIgBPAFIAQgBfAFgASQBOAEcAIgAsACIAQQBYAEkAUwBfAFAARQBSAEkATwBEACIALAAiAFAARQBSAEkATwBEAF8AQQBYAEkAUwAiACwAIgBTAFkATgBPAEQASQBDACIALAAiAFMATQBBAEwATABBAE4ARwBMAEUAIgAsACIATwBSAEIAXwBBAFgASQBTACIALAAiAE8AUgBCAF8AUwBVAE0AXwBNAEEAUwBTAEUAUwAiACwAIgBPAFIAQgBfAFAARQBSAEkATwBEACIALAAiAEUATABMAEkAUABTAEUAXwBFAEMAQwAiACwAIgBFAEwATABJAFAAUwBFAF8AUwBNAEkATgBPAFIAIgAsACIARABFAEcAXwBEAE0AUwAiACwAIgBEAEUARwBfAEQARQBDAF8ARABNAFMAIgAsACIARABFAEcAXwBEAE0AUwBfAEQARQBDACIALAAiAFIATwBPAFQAIgAsACIAQQBzAHQAcgBvAC4AQQBTAFQAUgBPAF8ASABBAEIAXwBJAE4ARABFAFgAIgAsACIAQQBzAHQAcgBvAC4AQQBTAFQAUgBPAF8AUwBQAEUAQwBUAFIAQQBMAF8ARABJAFMAVABSAEkAQgBVAFQASQBPAE4AIgAsACIAQQBzAHQAcgBvAC4AQQBTAFQAUgBPAF8AQwBBAEwAQwBfAFQARQBNAFAAIgAsACIAQQBzAHQAcgBvAC4AQQBTAFQAUgBPAF8AVABZAFAARQBfAEYAUgBPAE0AXwBUAEUATQBQACIALAAiAEEAcwB0AHIAbwAuAEEAUwBUAFIATwBfAEQASQBTAFAATABBAFkAXwBTAFAARQBDAFQAUgBBAEwAIgAsACIAQQBzAHQAcgBvAC4AQQBTAFQAUgBPAF8AUwBUAEEAUgBfAEEAVABUAFIASQBCAFUAVABFAFMAIgAsACIAQQBzAHQAcgBvAC4AQQBTAFQAUgBPAF8ASABBAEIASQBUAEEAQgBMAEUAXwBaAE8ATgBFAFMAIgAsACIAQQBzAHQAcgBvAC4ATgBBAFMAVABSAE8AXwBIAEEAQgBJAFQAQQBCAEwARQBfAFoATwBOAEUAUwAiACwAIgBBAHMAdAByAG8ALgBBAFMAVABSAE8AXwBTAFQAQQBSAF8ARABFAE4AUwBJAFQAWQBfAFYATwBMAFUATQBFACIALAAiAEEAcwB0AHIAbwAuAEEAUwBUAFIATwBfAFAATABBAE4ARQBUAF8ATQBFAFQAUgBJAEMAUwBfAFMAQQBGAEUAVABZACIALAAiAEEAcwB0AHIAbwAuAEEAUwBUAFIATwBfAFAATABBAE4ARQBUAF8ATQBFAFQAUgBJAEMAUwAiACwAIgBBAHMAdAByAG8ALgBBAFMAVABSAE8AXwBTAFkATgBPAEQASQBDAF8AUwBPAEwAVgBFAFIAIgAsACIAQQBzAHQAcgBvAC4AQQBTAFQAUgBPAF8AUwBZAE4ATwBEAEkAQwBfAFAAUQAiACwAIgBBAHMAdAByAG8ALgBBAFMAVABSAE8AXwBTAFkATgBPAEQASQBDAF8AUABTACIALAAiAEEAcwB0AHIAbwAuAEEAUwBUAFIATwBfAFMAWQBOAE8ARABJAEMAXwBRAFMAIgAsACIAQQBzAHQAcgBvAC4AQQBTAFQAUgBPAF8AQQBQAFAAQQBSAEUATgBUAF8AUwBPAEwAQQBSAF8AUwBJAFoARQAiACwAIgBBAHMAdAByAG8ALgBBAFMAVABSAE8AXwBPAFIAQgBJAFQAXwBDAE8ATgBGAEkARwBVAFIAQQBUAEkATwBOAF8ASQBOAEQARQBYACIALAAiAEEAcwB0AHIAbwAuAEEAUwBUAFIATwBfAFMAUABIAEUAUgBJAEMAQQBMAF8AVABPAF8AQwBBAFIAVABFAFMASQBBAE4AIgAsACIAQQBzAHQAcgBvAC4AQQBTAFQAUgBPAF8AQwBBAFIAVABFAFMASQBBAE4AXwBUAE8AXwBTAFAASABFAFIASQBDAEEATAAiACwAIgBBAHMAdAByAG8ALgBBAFMAVABSAE8AXwBPAFIAQgBJAFQAXwBBAFgASQBTACIALAAiAEEAcwB0AHIAbwAuAEEAUwBUAFIATwBfAE8AUgBCAEkAVABfAFAARQBSAEkATwBEACIALAAiAEEAcwB0AHIAbwAuAEEAUwBUAFIATwBfAE8AUgBCAEkAVABfAFMAVQBNAF8ATQBBAFMAUwBFAFMAIgAsACIAQQBzAHQAcgBvAC4AQQBTAFQAUgBPAF8ATwBSAEIASQBUAF8AUwBPAEwAVgBFAFIAIgAsACIAQQBzAHQAcgBvAC4AQQBTAFQAUgBPAF8ARABFAEcAUgBFAEUAUwBfAFQATwBfAEQATQBTAF8ATgBVAE0AIgAsACIAQQBzAHQAcgBvAC4AQQBTAFQAUgBPAF8ARABFAEcAUgBFAEUAUwBfAFQATwBfAEQATQBTAF8AVABFAFgAVAAiACwAIgBBAHMAdAByAG8ALgBBAFMAVABSAE8AXwBEAE0AUwBfAE4AVQBNAF8AVABPAF8ARABFAEcAUgBFAEUAUwAiACwAIgBTAHQAYQB0AHMALgBTAFQAQQBUAF8AUQBOAFQASQBMAEUAUwAiACwAIgBTAHQAYQB0AHMALgBTAFQAQQBUAF8AUwBUAEQARQBSAFIAIgAsACIAUwB0AGEAdABzAC4AUwBUAEEAVABfAE0ASQBOAE0AQQBYACIALAAiAFMAdABhAHQAcwAuAFMAVABBAFQAXwBTAFUATQBNAEEAUgBZACIALAAiAFMAdABhAHQAcwAuAFMAVABBAFQAXwBHAEUATwA1ACIALAAiAFMAdABhAHQAcwAuAFMAVABBAFQAXwBWAE8ATABVAE0ARQAiACwAIgBTAHQAYQB0AHMALgBTAFQAQQBUAF8AUwBIAEEAUABFACIALAAiAFMAdABhAHQAcwAuAFMAVABBAFQAXwBNAEkARABSAEEATgBHAEUAIgAsACIAUwB0AGEAdABzAC4AUwBUAEEAVABfAEYAUgBFAFEAXwBUAEEAQgBMAEUAIgAsACIAUwB0AGEAdABzAC4AUwBUAEEAVABfAFcAVABEAF8AQQBWAEcAIgAsACIAUwB0AGEAdABzAC4AUwBUAEEAVABfAFMARQBMAEYAXwBXAFQARABfAEEAVgBHACIALAAiAFMAdABhAHQAcwAuAFMAVABBAFQAXwBQAEMAVABfAFIARQBNAEEAUAAiACwAIgBTAHQAYQB0AHMALgBTAFQAQQBUAF8AUABDAFQAXwBPAEYAXwBSAEEATgBHAEUAIgAsACIAUwB0AGEAdABzAC4AUwBUAEEAVABfAFYAQQBMAFUARQBfAE8ARgBfAFAAQwBUACIALAAiAFMAdABhAHQAcwAuAFMAVABBAFQAXwBCAEUATgBGAE8AUgBEAF8AVABBAEIATABFACIALAAiAFMAdABhAHQAcwAuAFMAVABBAFQAXwBSAE4ARABfAEIARQBOAEYATwBSAEQAIgAsACIAUwB0AGEAdABzAC4AUwBUAEEAVABfAFYAQQBMAF8AQgBSAEEAQwBLAEUAVAAiACwAIgBOAHUAbQBOAG8AdABlAC4ATgBVAE0ATgBPAFQARQBfAEUATgBHAEkATgBFAEUAUgBJAE4ARwAiACwAIgBOAHUAbQBOAG8AdABlAC4ATgBVAE0ATgBPAFQARQBfAE0AQQBHAE4ASQBUAFUARABFACIALAAiAE4AdQBtAE4AbwB0AGUALgBOAFUATQBOAE8AVABFAF8AUABPAFcARQBSAFQAQQBH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Stele-Rosetta system</vt:lpstr>
      <vt:lpstr>Stele</vt:lpstr>
      <vt:lpstr>Hororology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2025-09-13T17:33:44Z</dcterms:modified>
</cp:coreProperties>
</file>