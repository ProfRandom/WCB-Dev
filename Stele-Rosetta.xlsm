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B71AC425-5A96-6041-92B9-F9E661B691BC}" xr6:coauthVersionLast="47" xr6:coauthVersionMax="47" xr10:uidLastSave="{00000000-0000-0000-0000-000000000000}"/>
  <bookViews>
    <workbookView xWindow="1160" yWindow="23360" windowWidth="33400" windowHeight="17660" tabRatio="833" activeTab="2" xr2:uid="{1F53B416-A8EA-154F-927D-A8DD520A3B1E}"/>
  </bookViews>
  <sheets>
    <sheet name="Stele-Rosetta system" sheetId="39" r:id="rId1"/>
    <sheet name="Stele" sheetId="41" r:id="rId2"/>
    <sheet name="Sheet1" sheetId="43" r:id="rId3"/>
    <sheet name="Hororology" sheetId="40" r:id="rId4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43" l="1" a="1"/>
  <c r="I28" i="43" s="1"/>
  <c r="I29" i="43" a="1"/>
  <c r="I29" i="43" s="1"/>
  <c r="I30" i="43" a="1"/>
  <c r="I30" i="43" s="1"/>
  <c r="I31" i="43" a="1"/>
  <c r="I31" i="43" s="1"/>
  <c r="I32" i="43" a="1"/>
  <c r="I32" i="43" s="1"/>
  <c r="I33" i="43" a="1"/>
  <c r="I33" i="43" s="1"/>
  <c r="I34" i="43" a="1"/>
  <c r="I34" i="43" s="1"/>
  <c r="E28" i="43" a="1"/>
  <c r="E28" i="43" s="1"/>
  <c r="E29" i="43" a="1"/>
  <c r="E29" i="43" s="1"/>
  <c r="E30" i="43" a="1"/>
  <c r="E30" i="43" s="1"/>
  <c r="E31" i="43" a="1"/>
  <c r="E31" i="43" s="1"/>
  <c r="E32" i="43" a="1"/>
  <c r="E32" i="43" s="1"/>
  <c r="E33" i="43" a="1"/>
  <c r="E33" i="43" s="1"/>
  <c r="E34" i="43" a="1"/>
  <c r="E34" i="43" s="1"/>
  <c r="D7" i="43"/>
  <c r="G25" i="43" s="1" a="1"/>
  <c r="D6" i="43"/>
  <c r="C25" i="43" s="1" a="1"/>
  <c r="C17" i="43"/>
  <c r="C16" i="43"/>
  <c r="C12" i="43"/>
  <c r="C11" i="43"/>
  <c r="C14" i="43" s="1" a="1"/>
  <c r="C14" i="43" s="1"/>
  <c r="C9" i="43"/>
  <c r="C8" i="43"/>
  <c r="C10" i="43" s="1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K4" i="39"/>
  <c r="K5" i="39"/>
  <c r="K6" i="39"/>
  <c r="K7" i="39"/>
  <c r="K8" i="39"/>
  <c r="K9" i="39"/>
  <c r="K10" i="39"/>
  <c r="K11" i="39"/>
  <c r="K12" i="39"/>
  <c r="K3" i="39"/>
  <c r="J4" i="39"/>
  <c r="J5" i="39"/>
  <c r="J6" i="39"/>
  <c r="J7" i="39"/>
  <c r="J8" i="39"/>
  <c r="J9" i="39"/>
  <c r="J10" i="39"/>
  <c r="J11" i="39"/>
  <c r="J12" i="39"/>
  <c r="J3" i="39"/>
  <c r="I4" i="39"/>
  <c r="I5" i="39"/>
  <c r="I6" i="39"/>
  <c r="I7" i="39"/>
  <c r="I8" i="39"/>
  <c r="I9" i="39"/>
  <c r="I10" i="39"/>
  <c r="I11" i="39"/>
  <c r="I12" i="39"/>
  <c r="I3" i="39"/>
  <c r="H3" i="39" a="1"/>
  <c r="H3" i="39" s="1"/>
  <c r="C25" i="43" l="1"/>
  <c r="E27" i="43" a="1"/>
  <c r="E27" i="43" s="1"/>
  <c r="G25" i="43"/>
  <c r="I27" i="43" a="1"/>
  <c r="I27" i="43" s="1"/>
  <c r="C1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C76" i="41"/>
  <c r="C78" i="41" s="1"/>
  <c r="P90" i="41" s="1"/>
  <c r="Q108" i="41" s="1"/>
  <c r="P109" i="41" s="1"/>
  <c r="O109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B37" i="43" l="1" a="1"/>
  <c r="B37" i="43" s="1"/>
  <c r="D37" i="43" s="1" a="1"/>
  <c r="E44" i="43" s="1"/>
  <c r="F44" i="43" s="1"/>
  <c r="C19" i="43"/>
  <c r="C21" i="43" s="1"/>
  <c r="E21" i="43" s="1"/>
  <c r="C18" i="43"/>
  <c r="C20" i="43" s="1"/>
  <c r="E20" i="43" s="1"/>
  <c r="R109" i="41"/>
  <c r="H78" i="41"/>
  <c r="E78" i="4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D37" i="43" l="1"/>
  <c r="E38" i="43" s="1"/>
  <c r="F38" i="43" s="1"/>
  <c r="E52" i="43"/>
  <c r="F52" i="43" s="1"/>
  <c r="E40" i="43"/>
  <c r="F40" i="43" s="1"/>
  <c r="E46" i="43"/>
  <c r="F46" i="43" s="1"/>
  <c r="E48" i="43"/>
  <c r="F48" i="43" s="1"/>
  <c r="E42" i="43"/>
  <c r="F42" i="43" s="1"/>
  <c r="E50" i="43"/>
  <c r="F50" i="43" s="1"/>
  <c r="C37" i="43" a="1"/>
  <c r="C37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W73" i="41" l="1"/>
  <c r="P89" i="41"/>
  <c r="Q97" i="41"/>
  <c r="P86" i="41"/>
  <c r="P87" i="41"/>
  <c r="P85" i="41"/>
  <c r="Q85" i="41" s="1"/>
  <c r="R85" i="41" s="1"/>
  <c r="S85" i="41" s="1"/>
  <c r="P88" i="41"/>
  <c r="P98" i="41"/>
  <c r="O97" i="41"/>
  <c r="R97" i="41"/>
  <c r="N60" i="41" a="1"/>
  <c r="T61" i="41"/>
  <c r="W61" i="41" s="1"/>
  <c r="Q87" i="41" l="1"/>
  <c r="R87" i="41" s="1"/>
  <c r="S87" i="41" s="1"/>
  <c r="U87" i="41" s="1"/>
  <c r="Q86" i="41"/>
  <c r="R86" i="41" s="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T89" i="41" l="1"/>
  <c r="T88" i="41"/>
  <c r="T86" i="41"/>
  <c r="T87" i="41"/>
  <c r="P103" i="41" s="1" a="1"/>
  <c r="P105" i="41" a="1"/>
  <c r="Q104" i="41"/>
  <c r="P101" i="41" a="1"/>
  <c r="Q100" i="41"/>
  <c r="R100" i="41" s="1"/>
  <c r="Q106" i="41"/>
  <c r="P107" i="41" a="1"/>
  <c r="Q98" i="41"/>
  <c r="P99" i="41" a="1"/>
  <c r="P99" i="41" s="1"/>
  <c r="O99" i="41" s="1"/>
  <c r="S61" i="41"/>
  <c r="Q102" i="41" l="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R104" i="41" l="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<sst xmlns="http://schemas.openxmlformats.org/spreadsheetml/2006/main" count="343" uniqueCount="186">
  <si>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</si>
  <si>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</si>
  <si>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</si>
  <si>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</si>
  <si>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</si>
  <si>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</si>
  <si>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</si>
  <si>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</si>
  <si>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</si>
  <si>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</si>
  <si>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</si>
  <si>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</si>
  <si>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</si>
  <si>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</si>
  <si>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</si>
  <si>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</si>
  <si>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</si>
  <si>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</si>
  <si>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</si>
  <si>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</si>
  <si>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</si>
  <si>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</si>
  <si>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</si>
  <si>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</si>
  <si>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</si>
  <si>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</si>
  <si>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</si>
  <si>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</si>
  <si>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</si>
  <si>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</si>
  <si>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</si>
  <si>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</si>
  <si>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</si>
  <si>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</si>
  <si>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</si>
  <si>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</si>
  <si>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</si>
  <si>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</si>
  <si>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</si>
  <si>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</si>
  <si>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</si>
  <si>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</si>
  <si>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</si>
  <si>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</si>
  <si>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</si>
  <si>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</si>
  <si>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</si>
  <si>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</si>
  <si>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</si>
  <si>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</si>
  <si>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</si>
  <si>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</si>
  <si>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</si>
  <si>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</si>
  <si>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</si>
  <si>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</si>
  <si>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</si>
  <si>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</si>
  <si>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</si>
  <si>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</si>
  <si>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</si>
  <si>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</si>
  <si>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</si>
  <si>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</si>
  <si>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</si>
  <si>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</si>
  <si>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</si>
  <si>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</si>
  <si>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</si>
  <si>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</si>
  <si>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</si>
  <si>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</si>
  <si>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</si>
  <si>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</si>
  <si>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</si>
  <si>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</si>
  <si>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</si>
  <si>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</si>
  <si>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</si>
  <si>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</si>
  <si>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</si>
  <si>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</si>
  <si>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</si>
  <si>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</si>
  <si>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</si>
  <si>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</si>
  <si>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</si>
  <si>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</si>
  <si>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</si>
  <si>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</si>
  <si>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</si>
  <si>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</si>
  <si>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</si>
  <si>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</si>
  <si>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</si>
  <si>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</si>
  <si>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</si>
  <si>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</si>
  <si>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</si>
  <si>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</si>
  <si>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</si>
  <si>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</si>
  <si>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</si>
  <si>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</si>
  <si>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</si>
  <si>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</si>
  <si>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</si>
  <si>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</si>
  <si>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</si>
  <si>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</si>
  <si>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</si>
  <si>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</si>
  <si>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</si>
  <si>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</si>
  <si>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</si>
  <si>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</si>
  <si>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</si>
  <si>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</si>
  <si>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</si>
  <si>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</si>
  <si>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</si>
  <si>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</si>
  <si>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</si>
  <si>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</si>
  <si>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</si>
  <si>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</si>
  <si>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</si>
  <si>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</si>
  <si>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</si>
  <si>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</si>
  <si>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</si>
  <si>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</si>
  <si>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</si>
  <si>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</si>
  <si>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</si>
  <si>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</si>
  <si>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</si>
  <si>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</si>
  <si>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</si>
  <si>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</si>
  <si>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</si>
  <si>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</si>
  <si>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</si>
  <si>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</si>
  <si>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</si>
  <si>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</si>
  <si>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</si>
  <si>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</si>
  <si>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</si>
  <si>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</si>
  <si>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</si>
  <si>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</si>
  <si>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</si>
  <si>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</si>
  <si>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</si>
  <si>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</si>
  <si>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</si>
  <si>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</si>
  <si>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</si>
  <si>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</si>
  <si>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</si>
  <si>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</si>
  <si>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</si>
  <si>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</si>
  <si>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</si>
  <si>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</si>
  <si>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</si>
  <si>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</si>
  <si>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</si>
  <si>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</si>
  <si>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</si>
  <si>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</si>
  <si>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</si>
  <si>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</si>
  <si>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</si>
  <si>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</si>
  <si>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</si>
  <si>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</si>
  <si>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</si>
  <si>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</si>
  <si>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</si>
  <si>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</si>
  <si>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</si>
  <si>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a_R</t>
  </si>
  <si>
    <t>Pairwise Averages</t>
  </si>
  <si>
    <t>Withn Belt Boundaries?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</si>
</sst>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72" formatCode="0.0000000"/>
  </numFmts>
  <fonts count="6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0" fillId="2" borderId="1" xfId="0" applyFill="1" applyBorder="1"/>
    <xf numFmtId="166" fontId="0" fillId="2" borderId="1" xfId="0" applyNumberFormat="1" applyFill="1" applyBorder="1"/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72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F59" zoomScale="140" zoomScaleNormal="140" workbookViewId="0">
      <selection activeCell="M60" sqref="M60:W75"/>
    </sheetView>
  </sheetViews>
  <sheetFormatPr baseColWidth="10" defaultColWidth="8.83203125" defaultRowHeight="16"/>
  <cols>
    <col min="1" max="1" width="8.83203125" style="10"/>
    <col min="2" max="2" width="19.33203125" style="10" bestFit="1" customWidth="1"/>
    <col min="3" max="3" width="16.83203125" style="10" bestFit="1" customWidth="1"/>
    <col min="4" max="4" width="15.33203125" style="10" bestFit="1" customWidth="1"/>
    <col min="5" max="5" width="9.5" style="10" bestFit="1" customWidth="1"/>
    <col min="6" max="6" width="11.5" style="10" bestFit="1" customWidth="1"/>
    <col min="7" max="7" width="8.33203125" style="10" bestFit="1" customWidth="1"/>
    <col min="8" max="8" width="15.6640625" style="10" bestFit="1" customWidth="1"/>
    <col min="9" max="9" width="14.33203125" style="10" bestFit="1" customWidth="1"/>
    <col min="10" max="11" width="15.6640625" style="10" bestFit="1" customWidth="1"/>
    <col min="12" max="12" width="7.1640625" style="10" bestFit="1" customWidth="1"/>
    <col min="13" max="14" width="15.6640625" style="10" bestFit="1" customWidth="1"/>
    <col min="15" max="15" width="26.83203125" style="10" customWidth="1"/>
    <col min="16" max="16" width="19.33203125" style="10" bestFit="1" customWidth="1"/>
    <col min="17" max="18" width="15.6640625" style="10" bestFit="1" customWidth="1"/>
    <col min="19" max="19" width="24.33203125" style="10" bestFit="1" customWidth="1"/>
    <col min="20" max="20" width="13.1640625" style="10" bestFit="1" customWidth="1"/>
    <col min="21" max="21" width="29.33203125" style="10" bestFit="1" customWidth="1"/>
    <col min="22" max="24" width="14.33203125" style="10" bestFit="1" customWidth="1"/>
    <col min="25" max="25" width="9.5" style="10" bestFit="1" customWidth="1"/>
    <col min="26" max="16384" width="8.83203125" style="10"/>
  </cols>
  <sheetData>
    <row r="2" spans="2:11">
      <c r="B2" s="8" t="s">
        <v>0</v>
      </c>
      <c r="C2" s="9">
        <v>1.181</v>
      </c>
      <c r="D2" s="8"/>
    </row>
    <row r="3" spans="2:11">
      <c r="B3" s="8" t="s">
        <v>1</v>
      </c>
      <c r="C3" s="9">
        <v>1.1617999999999999</v>
      </c>
      <c r="D3" s="8"/>
    </row>
    <row r="4" spans="2:11">
      <c r="B4" s="8" t="s">
        <v>6</v>
      </c>
      <c r="C4" s="9">
        <v>1.0869</v>
      </c>
      <c r="D4" s="11">
        <v>6304</v>
      </c>
    </row>
    <row r="5" spans="2:11">
      <c r="B5" s="8" t="s">
        <v>7</v>
      </c>
      <c r="C5" s="9">
        <v>1.8839999999999999</v>
      </c>
      <c r="D5" s="11"/>
    </row>
    <row r="6" spans="2:11">
      <c r="B6" s="8" t="s">
        <v>8</v>
      </c>
      <c r="C6" s="9">
        <v>0.6623</v>
      </c>
      <c r="D6" s="12" t="s">
        <v>18</v>
      </c>
    </row>
    <row r="7" spans="2:11">
      <c r="B7" s="8" t="s">
        <v>9</v>
      </c>
      <c r="C7" s="13" t="s">
        <v>5</v>
      </c>
      <c r="D7" s="11"/>
    </row>
    <row r="8" spans="2:11">
      <c r="B8" s="8" t="s">
        <v>10</v>
      </c>
      <c r="C8" s="9">
        <v>1.3725000000000001</v>
      </c>
      <c r="D8" s="12" t="s">
        <v>21</v>
      </c>
    </row>
    <row r="9" spans="2:11">
      <c r="B9" s="8" t="s">
        <v>11</v>
      </c>
      <c r="C9" s="9">
        <v>0.68600000000000005</v>
      </c>
      <c r="D9" s="11"/>
    </row>
    <row r="10" spans="2:11">
      <c r="B10" s="8" t="s">
        <v>12</v>
      </c>
      <c r="C10" s="9">
        <v>1.0289999999999999</v>
      </c>
      <c r="D10" s="8"/>
    </row>
    <row r="11" spans="2:11">
      <c r="B11" s="8" t="s">
        <v>13</v>
      </c>
      <c r="C11" s="9">
        <v>1.304</v>
      </c>
      <c r="D11" s="8"/>
      <c r="I11" s="10">
        <v>1</v>
      </c>
      <c r="J11" s="10">
        <v>5</v>
      </c>
      <c r="K11" s="10" t="s">
        <v>76</v>
      </c>
    </row>
    <row r="12" spans="2:11">
      <c r="B12" s="8" t="s">
        <v>14</v>
      </c>
      <c r="C12" s="9">
        <v>1.901</v>
      </c>
      <c r="D12" s="8"/>
      <c r="I12" s="10">
        <f>AVERAGE(I11,I13)</f>
        <v>1.2</v>
      </c>
      <c r="J12" s="10">
        <f>AVERAGE(J11,J13)</f>
        <v>3.5</v>
      </c>
      <c r="K12" s="10" t="s">
        <v>78</v>
      </c>
    </row>
    <row r="13" spans="2:11">
      <c r="B13" s="8" t="s">
        <v>15</v>
      </c>
      <c r="C13" s="9">
        <v>2.4289999999999998</v>
      </c>
      <c r="D13" s="8"/>
      <c r="I13" s="10">
        <v>1.4</v>
      </c>
      <c r="J13" s="10">
        <v>2</v>
      </c>
      <c r="K13" s="10" t="s">
        <v>77</v>
      </c>
    </row>
    <row r="14" spans="2:11">
      <c r="B14" s="8" t="s">
        <v>16</v>
      </c>
      <c r="C14" s="9">
        <v>6.657</v>
      </c>
      <c r="D14" s="8"/>
    </row>
    <row r="15" spans="2:11">
      <c r="B15" s="8" t="s">
        <v>17</v>
      </c>
      <c r="C15" s="9">
        <v>1.0570999999999999</v>
      </c>
      <c r="D15" s="8"/>
    </row>
    <row r="16" spans="2:11">
      <c r="B16" s="8" t="s">
        <v>87</v>
      </c>
      <c r="C16" s="9">
        <v>1.0999999999999999E-2</v>
      </c>
    </row>
    <row r="17" spans="2:18">
      <c r="B17" s="8" t="s">
        <v>88</v>
      </c>
      <c r="C17" s="9">
        <f>SQRT($C$5/2)</f>
        <v>0.97056684468407428</v>
      </c>
    </row>
    <row r="18" spans="2:18">
      <c r="B18" s="8" t="s">
        <v>89</v>
      </c>
      <c r="C18" s="9">
        <f>SQRT($C$5/7.5)</f>
        <v>0.50119856344566671</v>
      </c>
    </row>
    <row r="19" spans="2:18">
      <c r="B19" s="8" t="s">
        <v>90</v>
      </c>
      <c r="C19" s="9">
        <f>SQRT($C$5/20)</f>
        <v>0.30692018506445612</v>
      </c>
    </row>
    <row r="22" spans="2:18">
      <c r="B22" s="10" t="s">
        <v>79</v>
      </c>
      <c r="C22" s="10" t="s">
        <v>80</v>
      </c>
      <c r="D22" s="10" t="s">
        <v>81</v>
      </c>
      <c r="E22" s="10" t="s">
        <v>82</v>
      </c>
      <c r="F22" s="10" t="s">
        <v>83</v>
      </c>
    </row>
    <row r="23" spans="2:18">
      <c r="B23" s="10">
        <v>1</v>
      </c>
      <c r="C23" s="14">
        <v>1.2E-2</v>
      </c>
      <c r="D23" s="14"/>
      <c r="E23" s="14"/>
      <c r="F23" s="15" t="str">
        <f>ROUND(SQRT(C23^3/$C$2),4)&amp;"Ⓟ"</f>
        <v>0.0012Ⓟ</v>
      </c>
      <c r="G23" s="16">
        <f>(2*E23)-1</f>
        <v>-1</v>
      </c>
    </row>
    <row r="24" spans="2:18">
      <c r="B24" s="10">
        <v>2</v>
      </c>
      <c r="C24" s="14">
        <v>1.7000000000000001E-2</v>
      </c>
      <c r="D24" s="14">
        <f>C24/C23</f>
        <v>1.4166666666666667</v>
      </c>
      <c r="E24" s="14">
        <f>C24-C23</f>
        <v>5.000000000000001E-3</v>
      </c>
      <c r="F24" s="15" t="str">
        <f t="shared" ref="F24:F33" si="0">ROUND(SQRT(C24^3/$C$2),4)&amp;"Ⓟ"</f>
        <v>0.002Ⓟ</v>
      </c>
      <c r="G24" s="16">
        <f t="shared" ref="G24:G28" si="1">(2*E24)-1</f>
        <v>-0.99</v>
      </c>
    </row>
    <row r="25" spans="2:18">
      <c r="B25" s="10">
        <v>3</v>
      </c>
      <c r="C25" s="14">
        <v>0.06</v>
      </c>
      <c r="D25" s="14">
        <f t="shared" ref="D25:D33" si="2">C25/C24</f>
        <v>3.5294117647058818</v>
      </c>
      <c r="E25" s="14">
        <f t="shared" ref="E25:E33" si="3">C25-C24</f>
        <v>4.2999999999999997E-2</v>
      </c>
      <c r="F25" s="15" t="str">
        <f t="shared" si="0"/>
        <v>0.0135Ⓟ</v>
      </c>
      <c r="G25" s="16">
        <f t="shared" si="1"/>
        <v>-0.91400000000000003</v>
      </c>
    </row>
    <row r="26" spans="2:18">
      <c r="B26" s="10">
        <v>4</v>
      </c>
      <c r="C26" s="14">
        <v>0.113</v>
      </c>
      <c r="D26" s="14">
        <f t="shared" si="2"/>
        <v>1.8833333333333335</v>
      </c>
      <c r="E26" s="14">
        <f t="shared" si="3"/>
        <v>5.3000000000000005E-2</v>
      </c>
      <c r="F26" s="15" t="str">
        <f t="shared" si="0"/>
        <v>0.035Ⓟ</v>
      </c>
      <c r="G26" s="16">
        <f t="shared" si="1"/>
        <v>-0.89400000000000002</v>
      </c>
      <c r="N26" s="10">
        <v>2</v>
      </c>
      <c r="O26" s="10">
        <v>3</v>
      </c>
      <c r="P26" s="10">
        <v>4</v>
      </c>
      <c r="Q26" s="10">
        <v>5</v>
      </c>
    </row>
    <row r="27" spans="2:18">
      <c r="B27" s="10">
        <v>5</v>
      </c>
      <c r="C27" s="14">
        <v>0.32900000000000001</v>
      </c>
      <c r="D27" s="14">
        <f t="shared" si="2"/>
        <v>2.9115044247787609</v>
      </c>
      <c r="E27" s="14">
        <f t="shared" si="3"/>
        <v>0.21600000000000003</v>
      </c>
      <c r="F27" s="15" t="str">
        <f t="shared" si="0"/>
        <v>0.1736Ⓟ</v>
      </c>
      <c r="G27" s="16">
        <f t="shared" si="1"/>
        <v>-0.56799999999999995</v>
      </c>
      <c r="M27" s="10">
        <v>1</v>
      </c>
      <c r="N27" s="10" t="str">
        <f>N$26&amp;":"&amp;$M27</f>
        <v>2:1</v>
      </c>
      <c r="O27" s="10" t="str">
        <f>O$26&amp;":"&amp;$M27</f>
        <v>3:1</v>
      </c>
      <c r="P27" s="10" t="str">
        <f>P$26&amp;":"&amp;$M27</f>
        <v>4:1</v>
      </c>
      <c r="Q27" s="10" t="str">
        <f>Q$26&amp;":"&amp;$M27</f>
        <v>5:1</v>
      </c>
    </row>
    <row r="28" spans="2:18">
      <c r="B28" s="10">
        <v>6</v>
      </c>
      <c r="C28" s="14">
        <v>0.46800000000000003</v>
      </c>
      <c r="D28" s="14">
        <f t="shared" si="2"/>
        <v>1.4224924012158056</v>
      </c>
      <c r="E28" s="14">
        <f t="shared" si="3"/>
        <v>0.13900000000000001</v>
      </c>
      <c r="F28" s="15" t="str">
        <f t="shared" si="0"/>
        <v>0.2946Ⓟ</v>
      </c>
      <c r="G28" s="16">
        <f t="shared" si="1"/>
        <v>-0.72199999999999998</v>
      </c>
      <c r="M28" s="10">
        <v>2</v>
      </c>
      <c r="O28" s="10" t="str">
        <f t="shared" ref="O28:Q29" si="4">O$26&amp;":"&amp;$M28</f>
        <v>3:2</v>
      </c>
      <c r="Q28" s="10" t="str">
        <f t="shared" si="4"/>
        <v>5:2</v>
      </c>
    </row>
    <row r="29" spans="2:18">
      <c r="B29" s="10">
        <v>7</v>
      </c>
      <c r="C29" s="14">
        <v>1.3725000000000001</v>
      </c>
      <c r="D29" s="14">
        <f t="shared" si="2"/>
        <v>2.9326923076923075</v>
      </c>
      <c r="E29" s="14">
        <f t="shared" si="3"/>
        <v>0.90450000000000008</v>
      </c>
      <c r="F29" s="15" t="str">
        <f t="shared" si="0"/>
        <v>1.4796Ⓟ</v>
      </c>
      <c r="M29" s="10">
        <v>3</v>
      </c>
      <c r="P29" s="10" t="str">
        <f t="shared" si="4"/>
        <v>4:3</v>
      </c>
      <c r="Q29" s="10" t="str">
        <f t="shared" si="4"/>
        <v>5:3</v>
      </c>
    </row>
    <row r="30" spans="2:18">
      <c r="B30" s="10">
        <v>8</v>
      </c>
      <c r="C30" s="14">
        <v>2.1440000000000001</v>
      </c>
      <c r="D30" s="14">
        <f t="shared" si="2"/>
        <v>1.5621129326047358</v>
      </c>
      <c r="E30" s="14">
        <f t="shared" si="3"/>
        <v>0.77150000000000007</v>
      </c>
      <c r="F30" s="15" t="str">
        <f t="shared" si="0"/>
        <v>2.8888Ⓟ</v>
      </c>
      <c r="H30" s="15">
        <f>SQRT(C30^3/$C$2)</f>
        <v>2.8887650608226996</v>
      </c>
    </row>
    <row r="31" spans="2:18">
      <c r="B31" s="10">
        <v>9</v>
      </c>
      <c r="C31" s="14">
        <v>4.4660000000000002</v>
      </c>
      <c r="D31" s="14">
        <f t="shared" si="2"/>
        <v>2.0830223880597014</v>
      </c>
      <c r="E31" s="14">
        <f t="shared" si="3"/>
        <v>2.3220000000000001</v>
      </c>
      <c r="F31" s="15" t="str">
        <f t="shared" si="0"/>
        <v>8.6847Ⓟ</v>
      </c>
      <c r="H31" s="15">
        <f>SQRT(C31^3/$C$2)</f>
        <v>8.6846661708770725</v>
      </c>
      <c r="I31" s="10">
        <f>H31/H30</f>
        <v>3.0063594608845561</v>
      </c>
    </row>
    <row r="32" spans="2:18">
      <c r="B32" s="10">
        <v>10</v>
      </c>
      <c r="C32" s="14">
        <v>9.4440000000000008</v>
      </c>
      <c r="D32" s="14">
        <f t="shared" si="2"/>
        <v>2.1146439767129421</v>
      </c>
      <c r="E32" s="14">
        <f t="shared" si="3"/>
        <v>4.9780000000000006</v>
      </c>
      <c r="F32" s="15" t="str">
        <f t="shared" si="0"/>
        <v>26.706Ⓟ</v>
      </c>
      <c r="H32" s="15">
        <f>SQRT(C32^3/$C$2)</f>
        <v>26.70601070818719</v>
      </c>
      <c r="L32" s="10" t="s">
        <v>100</v>
      </c>
      <c r="M32" s="17" t="s">
        <v>101</v>
      </c>
      <c r="N32" s="10" t="s">
        <v>99</v>
      </c>
      <c r="O32" s="17" t="s">
        <v>102</v>
      </c>
      <c r="P32" s="10" t="s">
        <v>99</v>
      </c>
      <c r="Q32" s="10" t="s">
        <v>100</v>
      </c>
      <c r="R32" s="10" t="str" cm="1">
        <f t="array" ref="R32">_xlfn.TEXTSPLIT(L32,":")</f>
        <v>ratio</v>
      </c>
    </row>
    <row r="33" spans="2:22">
      <c r="B33" s="10">
        <v>11</v>
      </c>
      <c r="C33" s="14">
        <v>19.073</v>
      </c>
      <c r="D33" s="14">
        <f t="shared" si="2"/>
        <v>2.0195891571368061</v>
      </c>
      <c r="E33" s="14">
        <f t="shared" si="3"/>
        <v>9.6289999999999996</v>
      </c>
      <c r="F33" s="15" t="str">
        <f t="shared" si="0"/>
        <v>76.6485Ⓟ</v>
      </c>
      <c r="H33" s="15">
        <f>SQRT(C33^3/$C$2)</f>
        <v>76.648483085908964</v>
      </c>
      <c r="L33" s="17" t="s">
        <v>97</v>
      </c>
      <c r="M33" s="17" t="s">
        <v>101</v>
      </c>
      <c r="N33" s="10">
        <v>1.333</v>
      </c>
      <c r="O33" s="17" t="s">
        <v>102</v>
      </c>
      <c r="P33" s="10">
        <v>1.333</v>
      </c>
      <c r="Q33" s="17" t="s">
        <v>97</v>
      </c>
      <c r="R33" s="18">
        <v>4</v>
      </c>
      <c r="S33" s="18">
        <v>3</v>
      </c>
      <c r="T33" s="10">
        <f>ABS(R33-S33)</f>
        <v>1</v>
      </c>
      <c r="U33" s="10">
        <f t="shared" ref="U33:U40" si="5">(ABS(R33-S33))/(R33+S33)</f>
        <v>0.14285714285714285</v>
      </c>
      <c r="V33" s="10" cm="1">
        <f t="array" ref="V33">RECIP(U33)</f>
        <v>7</v>
      </c>
    </row>
    <row r="34" spans="2:22">
      <c r="L34" s="17" t="s">
        <v>96</v>
      </c>
      <c r="M34" s="17" t="s">
        <v>101</v>
      </c>
      <c r="N34" s="10">
        <v>1.5</v>
      </c>
      <c r="O34" s="17" t="s">
        <v>102</v>
      </c>
      <c r="P34" s="10">
        <v>1.5</v>
      </c>
      <c r="Q34" s="17" t="s">
        <v>96</v>
      </c>
      <c r="R34" s="18">
        <v>3</v>
      </c>
      <c r="S34" s="18">
        <v>2</v>
      </c>
      <c r="T34" s="10">
        <f t="shared" ref="T34:T40" si="6">ABS(R34-S34)</f>
        <v>1</v>
      </c>
      <c r="U34" s="10">
        <f t="shared" si="5"/>
        <v>0.2</v>
      </c>
      <c r="V34" s="10" cm="1">
        <f t="array" ref="V34">RECIP(U34)</f>
        <v>5</v>
      </c>
    </row>
    <row r="35" spans="2:22">
      <c r="B35" s="19" t="s">
        <v>85</v>
      </c>
      <c r="C35" s="19" t="s">
        <v>84</v>
      </c>
      <c r="D35" s="19" t="s">
        <v>86</v>
      </c>
      <c r="E35" s="19" t="s">
        <v>91</v>
      </c>
      <c r="L35" s="17" t="s">
        <v>103</v>
      </c>
      <c r="M35" s="17" t="s">
        <v>101</v>
      </c>
      <c r="N35" s="10">
        <v>1.667</v>
      </c>
      <c r="O35" s="17" t="s">
        <v>102</v>
      </c>
      <c r="P35" s="10">
        <v>1.667</v>
      </c>
      <c r="Q35" s="17" t="s">
        <v>103</v>
      </c>
      <c r="R35" s="18">
        <v>5</v>
      </c>
      <c r="S35" s="18">
        <v>3</v>
      </c>
      <c r="T35" s="10">
        <f t="shared" si="6"/>
        <v>2</v>
      </c>
      <c r="U35" s="10">
        <f t="shared" si="5"/>
        <v>0.25</v>
      </c>
      <c r="V35" s="10" cm="1">
        <f t="array" ref="V35">RECIP(U35)</f>
        <v>4</v>
      </c>
    </row>
    <row r="36" spans="2:22">
      <c r="B36" s="20" t="s">
        <v>87</v>
      </c>
      <c r="C36" s="9">
        <v>1.0999999999999999E-2</v>
      </c>
      <c r="D36" s="18"/>
      <c r="L36" s="17" t="s">
        <v>93</v>
      </c>
      <c r="M36" s="17" t="s">
        <v>101</v>
      </c>
      <c r="N36" s="10">
        <v>2</v>
      </c>
      <c r="O36" s="17" t="s">
        <v>102</v>
      </c>
      <c r="P36" s="10">
        <v>2</v>
      </c>
      <c r="Q36" s="17" t="s">
        <v>93</v>
      </c>
      <c r="R36" s="18">
        <v>2</v>
      </c>
      <c r="S36" s="18">
        <v>1</v>
      </c>
      <c r="T36" s="10">
        <f t="shared" si="6"/>
        <v>1</v>
      </c>
      <c r="U36" s="10">
        <f t="shared" si="5"/>
        <v>0.33333333333333331</v>
      </c>
      <c r="V36" s="10" cm="1">
        <f t="array" ref="V36">RECIP(U36)</f>
        <v>3</v>
      </c>
    </row>
    <row r="37" spans="2:22">
      <c r="B37" s="21">
        <v>1</v>
      </c>
      <c r="C37" s="14">
        <v>1.2E-2</v>
      </c>
      <c r="D37" s="15" t="str">
        <f>ROUND(SQRT(C37^3/$C$2),4)&amp;"Ⓟ"</f>
        <v>0.0012Ⓟ</v>
      </c>
      <c r="E37" s="14">
        <f>(2*C37/$C$50)-1</f>
        <v>-0.98251366120218575</v>
      </c>
      <c r="L37" s="17" t="s">
        <v>98</v>
      </c>
      <c r="M37" s="17" t="s">
        <v>101</v>
      </c>
      <c r="N37" s="10">
        <v>2.5</v>
      </c>
      <c r="O37" s="17" t="s">
        <v>102</v>
      </c>
      <c r="P37" s="10">
        <v>2.5</v>
      </c>
      <c r="Q37" s="17" t="s">
        <v>98</v>
      </c>
      <c r="R37" s="18">
        <v>5</v>
      </c>
      <c r="S37" s="18">
        <v>2</v>
      </c>
      <c r="T37" s="10">
        <f t="shared" si="6"/>
        <v>3</v>
      </c>
      <c r="U37" s="10">
        <f t="shared" si="5"/>
        <v>0.42857142857142855</v>
      </c>
      <c r="V37" s="10" cm="1">
        <f t="array" ref="V37">RECIP(U37)</f>
        <v>2.3333333333333335</v>
      </c>
    </row>
    <row r="38" spans="2:22">
      <c r="B38" s="21">
        <v>2</v>
      </c>
      <c r="C38" s="14">
        <v>1.7000000000000001E-2</v>
      </c>
      <c r="D38" s="15" t="str">
        <f t="shared" ref="D38:D44" si="7">ROUND(SQRT(C38^3/$C$2),4)&amp;"Ⓟ"</f>
        <v>0.002Ⓟ</v>
      </c>
      <c r="E38" s="14">
        <f>(2*C38/$C$50)-1</f>
        <v>-0.97522768670309656</v>
      </c>
      <c r="L38" s="17" t="s">
        <v>92</v>
      </c>
      <c r="M38" s="17" t="s">
        <v>101</v>
      </c>
      <c r="N38" s="10">
        <v>3</v>
      </c>
      <c r="O38" s="17" t="s">
        <v>102</v>
      </c>
      <c r="P38" s="10">
        <v>3</v>
      </c>
      <c r="Q38" s="17" t="s">
        <v>92</v>
      </c>
      <c r="R38" s="18">
        <v>3</v>
      </c>
      <c r="S38" s="18">
        <v>1</v>
      </c>
      <c r="T38" s="10">
        <f t="shared" si="6"/>
        <v>2</v>
      </c>
      <c r="U38" s="10">
        <f t="shared" si="5"/>
        <v>0.5</v>
      </c>
      <c r="V38" s="10" cm="1">
        <f t="array" ref="V38">RECIP(U38)</f>
        <v>2</v>
      </c>
    </row>
    <row r="39" spans="2:22">
      <c r="B39" s="21">
        <v>3</v>
      </c>
      <c r="C39" s="14">
        <v>0.06</v>
      </c>
      <c r="D39" s="15" t="str">
        <f t="shared" si="7"/>
        <v>0.0135Ⓟ</v>
      </c>
      <c r="E39" s="14">
        <f>(2*C39/$C$50)-1</f>
        <v>-0.91256830601092898</v>
      </c>
      <c r="L39" s="17" t="s">
        <v>94</v>
      </c>
      <c r="M39" s="17" t="s">
        <v>101</v>
      </c>
      <c r="N39" s="10">
        <v>4</v>
      </c>
      <c r="O39" s="17" t="s">
        <v>102</v>
      </c>
      <c r="P39" s="10">
        <v>4</v>
      </c>
      <c r="Q39" s="17" t="s">
        <v>94</v>
      </c>
      <c r="R39" s="18">
        <v>4</v>
      </c>
      <c r="S39" s="18">
        <v>1</v>
      </c>
      <c r="T39" s="10">
        <f t="shared" si="6"/>
        <v>3</v>
      </c>
      <c r="U39" s="10">
        <f t="shared" si="5"/>
        <v>0.6</v>
      </c>
      <c r="V39" s="10" cm="1">
        <f t="array" ref="V39">RECIP(U39)</f>
        <v>1.6666666666666667</v>
      </c>
    </row>
    <row r="40" spans="2:22">
      <c r="B40" s="21">
        <v>4</v>
      </c>
      <c r="C40" s="14">
        <v>0.113</v>
      </c>
      <c r="D40" s="15" t="str">
        <f t="shared" si="7"/>
        <v>0.035Ⓟ</v>
      </c>
      <c r="E40" s="14">
        <f>(2*C40/$C$50)-1</f>
        <v>-0.8353369763205829</v>
      </c>
      <c r="L40" s="17" t="s">
        <v>95</v>
      </c>
      <c r="M40" s="17" t="s">
        <v>101</v>
      </c>
      <c r="N40" s="10">
        <v>5</v>
      </c>
      <c r="O40" s="17" t="s">
        <v>102</v>
      </c>
      <c r="P40" s="10">
        <v>5</v>
      </c>
      <c r="Q40" s="17" t="s">
        <v>95</v>
      </c>
      <c r="R40" s="18">
        <v>5</v>
      </c>
      <c r="S40" s="18">
        <v>1</v>
      </c>
      <c r="T40" s="10">
        <f t="shared" si="6"/>
        <v>4</v>
      </c>
      <c r="U40" s="10">
        <f t="shared" si="5"/>
        <v>0.66666666666666663</v>
      </c>
      <c r="V40" s="10" cm="1">
        <f t="array" ref="V40">RECIP(U40)</f>
        <v>1.5</v>
      </c>
    </row>
    <row r="41" spans="2:22">
      <c r="B41" s="20" t="s">
        <v>90</v>
      </c>
      <c r="C41" s="9">
        <v>0.30690000000000001</v>
      </c>
      <c r="D41" s="18"/>
      <c r="E41" s="14"/>
    </row>
    <row r="42" spans="2:22">
      <c r="B42" s="21">
        <v>5</v>
      </c>
      <c r="C42" s="14">
        <v>0.32900000000000001</v>
      </c>
      <c r="D42" s="15" t="str">
        <f t="shared" si="7"/>
        <v>0.1736Ⓟ</v>
      </c>
      <c r="E42" s="14">
        <f>(2*C42/$C$50)-1</f>
        <v>-0.52058287795992708</v>
      </c>
    </row>
    <row r="43" spans="2:22">
      <c r="B43" s="20" t="s">
        <v>89</v>
      </c>
      <c r="C43" s="9">
        <v>0.50119999999999998</v>
      </c>
      <c r="D43" s="18"/>
      <c r="E43" s="14"/>
    </row>
    <row r="44" spans="2:22">
      <c r="B44" s="21">
        <v>6</v>
      </c>
      <c r="C44" s="14">
        <v>0.46800000000000003</v>
      </c>
      <c r="D44" s="15" t="str">
        <f t="shared" si="7"/>
        <v>0.2946Ⓟ</v>
      </c>
      <c r="E44" s="14">
        <f>(2*C44/$C$50)-1</f>
        <v>-0.31803278688524594</v>
      </c>
    </row>
    <row r="45" spans="2:22">
      <c r="B45" s="20" t="s">
        <v>11</v>
      </c>
      <c r="C45" s="9">
        <v>0.68600000000000005</v>
      </c>
      <c r="D45" s="18"/>
    </row>
    <row r="46" spans="2:22">
      <c r="B46" s="20" t="s">
        <v>88</v>
      </c>
      <c r="C46" s="9">
        <v>0.97060000000000002</v>
      </c>
      <c r="D46" s="18"/>
      <c r="M46" s="10" t="s">
        <v>179</v>
      </c>
      <c r="N46" s="14">
        <f>C2</f>
        <v>1.181</v>
      </c>
    </row>
    <row r="47" spans="2:22">
      <c r="B47" s="20" t="s">
        <v>12</v>
      </c>
      <c r="C47" s="9">
        <v>1.0289999999999999</v>
      </c>
      <c r="D47" s="18"/>
      <c r="P47" s="10" t="s">
        <v>121</v>
      </c>
      <c r="U47" s="10" t="s">
        <v>123</v>
      </c>
    </row>
    <row r="48" spans="2:22">
      <c r="B48" s="20" t="s">
        <v>17</v>
      </c>
      <c r="C48" s="9">
        <v>1.0570999999999999</v>
      </c>
      <c r="D48" s="15" t="str">
        <f t="shared" ref="D48" si="8">ROUND(SQRT(C48^3/$C$2),4)&amp;"Ⓟ"</f>
        <v>1.0001Ⓟ</v>
      </c>
      <c r="E48" s="14">
        <f>(2*C48/$C$50)-1</f>
        <v>0.5404007285974497</v>
      </c>
      <c r="I48" s="10" t="s">
        <v>106</v>
      </c>
      <c r="J48" s="10" t="s">
        <v>107</v>
      </c>
      <c r="K48" s="10" t="s">
        <v>0</v>
      </c>
      <c r="M48" s="10" t="s">
        <v>113</v>
      </c>
      <c r="N48" s="16">
        <f>C63</f>
        <v>1</v>
      </c>
      <c r="P48" s="10" t="s">
        <v>122</v>
      </c>
      <c r="R48" s="10" t="s">
        <v>119</v>
      </c>
      <c r="S48" s="16">
        <f>C64</f>
        <v>1.25</v>
      </c>
      <c r="U48" s="10" t="s">
        <v>122</v>
      </c>
    </row>
    <row r="49" spans="2:31">
      <c r="B49" s="20" t="s">
        <v>13</v>
      </c>
      <c r="C49" s="9">
        <v>1.304</v>
      </c>
      <c r="D49" s="18"/>
      <c r="H49" s="10" t="s">
        <v>104</v>
      </c>
      <c r="I49" s="10">
        <v>9.4440000000000008</v>
      </c>
      <c r="J49" s="24">
        <f>H32</f>
        <v>26.70601070818719</v>
      </c>
      <c r="K49" s="10" t="s">
        <v>125</v>
      </c>
      <c r="M49" s="10" t="s">
        <v>115</v>
      </c>
      <c r="N49" s="24">
        <f>SQRT(N48^3/$N$46)</f>
        <v>0.92018479166111145</v>
      </c>
      <c r="O49" s="10" t="s">
        <v>114</v>
      </c>
      <c r="R49" s="10" t="s">
        <v>120</v>
      </c>
      <c r="S49" s="24">
        <f>SQRT(S48^3/$N$46)</f>
        <v>1.2859973412598293</v>
      </c>
      <c r="T49" s="10" t="s">
        <v>114</v>
      </c>
    </row>
    <row r="50" spans="2:31">
      <c r="B50" s="21" t="s">
        <v>10</v>
      </c>
      <c r="C50" s="14">
        <v>1.3725000000000001</v>
      </c>
      <c r="D50" s="15" t="str">
        <f t="shared" ref="D50" si="9">ROUND(SQRT(C50^3/$C$2),4)&amp;"Ⓟ"</f>
        <v>1.4796Ⓟ</v>
      </c>
      <c r="E50" s="14">
        <f>-0.26*C50/$C$50+1.26</f>
        <v>1</v>
      </c>
      <c r="H50" s="10" t="s">
        <v>105</v>
      </c>
      <c r="I50" s="14">
        <f>C33</f>
        <v>19.073</v>
      </c>
      <c r="J50" s="24">
        <f>H33</f>
        <v>76.648483085908964</v>
      </c>
      <c r="K50" s="10" t="s">
        <v>124</v>
      </c>
      <c r="M50" s="10" t="s">
        <v>108</v>
      </c>
      <c r="N50" s="10" t="s">
        <v>95</v>
      </c>
      <c r="O50" s="10">
        <v>5</v>
      </c>
      <c r="P50" s="16" cm="1">
        <f t="array" ref="P50">ROOT(($N$49*O50)^2*$C$2,3)</f>
        <v>2.924017738212866</v>
      </c>
      <c r="Q50" s="16"/>
      <c r="R50" s="10" t="s">
        <v>108</v>
      </c>
      <c r="S50" s="10" t="s">
        <v>95</v>
      </c>
      <c r="T50" s="10">
        <v>5</v>
      </c>
      <c r="U50" s="16" cm="1">
        <f t="array" ref="U50">ROOT(($S$49/T50)^2*$C$2,3)</f>
        <v>0.42749398666917432</v>
      </c>
      <c r="AC50" s="16"/>
      <c r="AD50" s="16"/>
      <c r="AE50" s="16"/>
    </row>
    <row r="51" spans="2:31">
      <c r="B51" s="20" t="s">
        <v>14</v>
      </c>
      <c r="C51" s="9">
        <v>1.901</v>
      </c>
      <c r="D51" s="18"/>
      <c r="H51" s="10">
        <v>1.333</v>
      </c>
      <c r="I51" s="10">
        <v>3.687216335055207</v>
      </c>
      <c r="J51" s="10">
        <v>6.5151284102603695</v>
      </c>
      <c r="M51" s="10" t="s">
        <v>109</v>
      </c>
      <c r="N51" s="10" t="s">
        <v>94</v>
      </c>
      <c r="O51" s="10">
        <v>4</v>
      </c>
      <c r="P51" s="16" cm="1">
        <f t="array" ref="P51">ROOT(($N$49*O51)^2*$C$2,3)</f>
        <v>2.5198420997897459</v>
      </c>
      <c r="Q51" s="16"/>
      <c r="R51" s="10" t="s">
        <v>109</v>
      </c>
      <c r="S51" s="10" t="s">
        <v>94</v>
      </c>
      <c r="T51" s="10">
        <v>4</v>
      </c>
      <c r="U51" s="16" cm="1">
        <f t="array" ref="U51">ROOT(($S$49/T51)^2*$C$2,3)</f>
        <v>0.49606282874006236</v>
      </c>
      <c r="AE51" s="16"/>
    </row>
    <row r="52" spans="2:31">
      <c r="B52" s="21">
        <v>8</v>
      </c>
      <c r="C52" s="14">
        <v>2.1440000000000001</v>
      </c>
      <c r="D52" s="15" t="str">
        <f t="shared" ref="D52" si="10">ROUND(SQRT(C52^3/$C$2),4)&amp;"Ⓟ"</f>
        <v>2.8888Ⓟ</v>
      </c>
      <c r="E52" s="14">
        <f>-0.26*C52/$C$50+1.26</f>
        <v>0.85385063752276869</v>
      </c>
      <c r="H52" s="10">
        <v>1.5</v>
      </c>
      <c r="I52" s="10">
        <v>3.4081958714954532</v>
      </c>
      <c r="J52" s="10">
        <v>5.7897774472513817</v>
      </c>
      <c r="M52" s="10" t="s">
        <v>110</v>
      </c>
      <c r="N52" s="10" t="s">
        <v>92</v>
      </c>
      <c r="O52" s="10">
        <v>3</v>
      </c>
      <c r="P52" s="16" cm="1">
        <f t="array" ref="P52">ROOT(($N$49*O52)^2*$C$2,3)</f>
        <v>2.0800838230519041</v>
      </c>
      <c r="R52" s="10" t="s">
        <v>110</v>
      </c>
      <c r="S52" s="10" t="s">
        <v>92</v>
      </c>
      <c r="T52" s="10">
        <v>3</v>
      </c>
      <c r="U52" s="16" cm="1">
        <f t="array" ref="U52">ROOT(($S$49/T52)^2*$C$2,3)</f>
        <v>0.60093732096142027</v>
      </c>
      <c r="AE52" s="16"/>
    </row>
    <row r="53" spans="2:31">
      <c r="B53" s="20" t="s">
        <v>15</v>
      </c>
      <c r="C53" s="9">
        <v>2.4289999999999998</v>
      </c>
      <c r="D53" s="18"/>
      <c r="H53" s="10">
        <v>1.667</v>
      </c>
      <c r="I53" s="10">
        <v>3.1765935678784119</v>
      </c>
      <c r="J53" s="10">
        <v>5.2097577509760482</v>
      </c>
      <c r="M53" s="10" t="s">
        <v>111</v>
      </c>
      <c r="N53" s="10" t="s">
        <v>98</v>
      </c>
      <c r="O53" s="10">
        <v>2.5</v>
      </c>
      <c r="P53" s="16" cm="1">
        <f t="array" ref="P53">ROOT(($N$49*O53)^2*$C$2,3)</f>
        <v>1.8420157493201932</v>
      </c>
      <c r="R53" s="10" t="s">
        <v>111</v>
      </c>
      <c r="S53" s="10" t="s">
        <v>98</v>
      </c>
      <c r="T53" s="10">
        <v>2.5</v>
      </c>
      <c r="U53" s="16" cm="1">
        <f t="array" ref="U53">ROOT(($S$49/T53)^2*$C$2,3)</f>
        <v>0.6786044041487268</v>
      </c>
      <c r="AE53" s="16"/>
    </row>
    <row r="54" spans="2:31">
      <c r="B54" s="21">
        <v>9</v>
      </c>
      <c r="C54" s="14">
        <v>4.4660000000000002</v>
      </c>
      <c r="D54" s="15" t="str">
        <f t="shared" ref="D54" si="11">ROUND(SQRT(C54^3/$C$2),4)&amp;"Ⓟ"</f>
        <v>8.6847Ⓟ</v>
      </c>
      <c r="E54" s="14">
        <f>-0.26*C54/$C$50+1.26</f>
        <v>0.41398178506375216</v>
      </c>
      <c r="H54" s="10">
        <v>2</v>
      </c>
      <c r="I54" s="10">
        <v>2.8134037044152516</v>
      </c>
      <c r="J54" s="10">
        <v>4.3423330854385362</v>
      </c>
      <c r="M54" s="10" t="s">
        <v>112</v>
      </c>
      <c r="N54" s="10" t="s">
        <v>93</v>
      </c>
      <c r="O54" s="10">
        <v>2</v>
      </c>
      <c r="P54" s="16" cm="1">
        <f t="array" ref="P54">ROOT(($N$49*O54)^2*$C$2,3)</f>
        <v>1.5874010519681994</v>
      </c>
      <c r="R54" s="10" t="s">
        <v>112</v>
      </c>
      <c r="S54" s="10" t="s">
        <v>93</v>
      </c>
      <c r="T54" s="10">
        <v>2</v>
      </c>
      <c r="U54" s="16" cm="1">
        <f t="array" ref="U54">ROOT(($S$49/T54)^2*$C$2,3)</f>
        <v>0.78745065618429577</v>
      </c>
      <c r="AE54" s="16"/>
    </row>
    <row r="55" spans="2:31">
      <c r="B55" s="20" t="s">
        <v>16</v>
      </c>
      <c r="C55" s="9">
        <v>6.657</v>
      </c>
      <c r="D55" s="18"/>
      <c r="H55" s="10">
        <v>2.5</v>
      </c>
      <c r="I55" s="10">
        <v>2.4245178151425706</v>
      </c>
      <c r="J55" s="10">
        <v>3.4738664683508289</v>
      </c>
      <c r="M55" s="10" t="s">
        <v>116</v>
      </c>
      <c r="N55" s="10" t="s">
        <v>103</v>
      </c>
      <c r="O55" s="10">
        <v>1.667</v>
      </c>
      <c r="P55" s="16" cm="1">
        <f t="array" ref="P55">ROOT(($N$49*O55)^2*$C$2,3)</f>
        <v>1.4059085320703328</v>
      </c>
      <c r="R55" s="10" t="s">
        <v>116</v>
      </c>
      <c r="S55" s="10" t="s">
        <v>103</v>
      </c>
      <c r="T55" s="10">
        <v>1.667</v>
      </c>
      <c r="U55" s="16" cm="1">
        <f t="array" ref="U55">ROOT(($S$49/T55)^2*$C$2,3)</f>
        <v>0.8891047827693721</v>
      </c>
      <c r="AE55" s="16"/>
    </row>
    <row r="56" spans="2:31">
      <c r="B56" s="21">
        <v>10</v>
      </c>
      <c r="C56" s="14">
        <v>9.4440000000000008</v>
      </c>
      <c r="D56" s="15" t="str">
        <f t="shared" ref="D56:D57" si="12">ROUND(SQRT(C56^3/$C$2),4)&amp;"Ⓟ"</f>
        <v>26.706Ⓟ</v>
      </c>
      <c r="E56" s="14">
        <f>-0.26*C56/$C$50+1.26</f>
        <v>-0.52902732240437178</v>
      </c>
      <c r="H56" s="10">
        <v>3</v>
      </c>
      <c r="I56" s="10">
        <v>2.1470288603309622</v>
      </c>
      <c r="J56" s="10">
        <v>2.8948887236256908</v>
      </c>
      <c r="M56" s="10" t="s">
        <v>117</v>
      </c>
      <c r="N56" s="10" t="s">
        <v>96</v>
      </c>
      <c r="O56" s="10">
        <v>1.5</v>
      </c>
      <c r="P56" s="16" cm="1">
        <f t="array" ref="P56">ROOT(($N$49*O56)^2*$C$2,3)</f>
        <v>1.3103706971044482</v>
      </c>
      <c r="R56" s="10" t="s">
        <v>117</v>
      </c>
      <c r="S56" s="10" t="s">
        <v>96</v>
      </c>
      <c r="T56" s="10">
        <v>1.5</v>
      </c>
      <c r="U56" s="16" cm="1">
        <f t="array" ref="U56">ROOT(($S$49/T56)^2*$C$2,3)</f>
        <v>0.95392853546111001</v>
      </c>
      <c r="AE56" s="16"/>
    </row>
    <row r="57" spans="2:31">
      <c r="B57" s="21">
        <v>11</v>
      </c>
      <c r="C57" s="14">
        <v>19.073</v>
      </c>
      <c r="D57" s="15" t="str">
        <f t="shared" si="12"/>
        <v>76.6485Ⓟ</v>
      </c>
      <c r="E57" s="14">
        <f>-0.26*C57/$C$50+1.26</f>
        <v>-2.3531001821493627</v>
      </c>
      <c r="H57" s="10">
        <v>4</v>
      </c>
      <c r="I57" s="10">
        <v>1.7723332745224947</v>
      </c>
      <c r="J57" s="10">
        <v>2.1711665427192681</v>
      </c>
      <c r="M57" s="10" t="s">
        <v>118</v>
      </c>
      <c r="N57" s="10" t="s">
        <v>97</v>
      </c>
      <c r="O57" s="10">
        <v>1.333</v>
      </c>
      <c r="P57" s="16" cm="1">
        <f t="array" ref="P57">ROOT(($N$49*O57)^2*$C$2,3)</f>
        <v>1.2112118178531373</v>
      </c>
      <c r="R57" s="10" t="s">
        <v>118</v>
      </c>
      <c r="S57" s="10" t="s">
        <v>97</v>
      </c>
      <c r="T57" s="10">
        <v>1.333</v>
      </c>
      <c r="U57" s="16" cm="1">
        <f t="array" ref="U57">ROOT(($S$49/T57)^2*$C$2,3)</f>
        <v>1.0320242764932848</v>
      </c>
      <c r="AE57" s="16"/>
    </row>
    <row r="58" spans="2:31">
      <c r="H58" s="10">
        <v>5</v>
      </c>
      <c r="I58" s="10">
        <v>1.5273505155716258</v>
      </c>
      <c r="J58" s="10">
        <v>1.7369332341754145</v>
      </c>
    </row>
    <row r="60" spans="2:31">
      <c r="B60" s="10" t="s">
        <v>163</v>
      </c>
      <c r="C60" s="14">
        <v>333000</v>
      </c>
      <c r="M60" s="10" cm="1">
        <f t="array" ref="M60:M75">_xlfn.VSTACK(P50:P57,U50:U57)</f>
        <v>2.924017738212866</v>
      </c>
      <c r="N60" s="10" cm="1">
        <f t="array" ref="N60:N75">_xlfn.SEQUENCE(COUNTA(O60:O75))</f>
        <v>1</v>
      </c>
      <c r="O60" s="23" cm="1">
        <f t="array" ref="O60:O75">_xlfn._xlws.SORT(_xlfn.ANCHORARRAY(M60))</f>
        <v>0.42749398666917432</v>
      </c>
    </row>
    <row r="61" spans="2:31">
      <c r="B61" s="10" t="s">
        <v>159</v>
      </c>
      <c r="C61" s="10">
        <v>20</v>
      </c>
      <c r="M61" s="10">
        <v>2.5198420997897459</v>
      </c>
      <c r="N61" s="10">
        <v>2</v>
      </c>
      <c r="O61" s="23">
        <v>0.49606282874006236</v>
      </c>
      <c r="P61" s="10">
        <f t="shared" ref="P60:P75" si="13">O61/O60</f>
        <v>1.1603972084031946</v>
      </c>
      <c r="Q61" s="10" t="str">
        <f>"ratio "&amp;_xlfn.TEXTJOIN(" / ",,N61,N60)</f>
        <v>ratio 2 / 1</v>
      </c>
      <c r="R61" s="14">
        <f>O61-O60</f>
        <v>6.8568842070888036E-2</v>
      </c>
      <c r="S61" s="10" t="str">
        <f>"difference  "&amp;_xlfn.TEXTJOIN(" - ",,N61,N60)</f>
        <v>difference  2 - 1</v>
      </c>
      <c r="T61" s="14">
        <f>AVERAGE(O60:O61)</f>
        <v>0.46177840770461831</v>
      </c>
      <c r="U61" s="10" t="str">
        <f>"average  "&amp;_xlfn.TEXTJOIN(", ",,TEXT(O61,"0.###"),TEXT(O60,"0.###"))</f>
        <v>average  0.496, 0.427</v>
      </c>
      <c r="W61" s="10" t="b">
        <f>AND(T61&gt;$C$77,T61&lt;$C$78)</f>
        <v>0</v>
      </c>
    </row>
    <row r="62" spans="2:31">
      <c r="B62" s="10" t="s">
        <v>160</v>
      </c>
      <c r="C62" s="10">
        <v>5</v>
      </c>
      <c r="M62" s="10">
        <v>2.0800838230519041</v>
      </c>
      <c r="N62" s="10">
        <v>3</v>
      </c>
      <c r="O62" s="23">
        <v>0.60093732096142027</v>
      </c>
      <c r="P62" s="10">
        <f t="shared" si="13"/>
        <v>1.2114137285547599</v>
      </c>
      <c r="Q62" s="10" t="str">
        <f t="shared" ref="Q62:Q75" si="14">"ratio "&amp;_xlfn.TEXTJOIN(" / ",,N62,N61)</f>
        <v>ratio 3 / 2</v>
      </c>
    </row>
    <row r="63" spans="2:31">
      <c r="B63" s="10" t="s">
        <v>113</v>
      </c>
      <c r="C63" s="10">
        <v>1</v>
      </c>
      <c r="M63" s="10">
        <v>1.8420157493201932</v>
      </c>
      <c r="N63" s="10">
        <v>4</v>
      </c>
      <c r="O63" s="23">
        <v>0.6786044041487268</v>
      </c>
      <c r="P63" s="10">
        <f t="shared" si="13"/>
        <v>1.1292432346572343</v>
      </c>
      <c r="Q63" s="10" t="str">
        <f t="shared" si="14"/>
        <v>ratio 4 / 3</v>
      </c>
      <c r="R63" s="14">
        <f>O63-O62</f>
        <v>7.7667083187306529E-2</v>
      </c>
      <c r="S63" s="10" t="str">
        <f>"difference  "&amp;_xlfn.TEXTJOIN(" - ",,N63,N62)</f>
        <v>difference  4 - 3</v>
      </c>
      <c r="T63" s="14">
        <f>AVERAGE(O62:O63)</f>
        <v>0.63977086255507354</v>
      </c>
      <c r="U63" s="10" t="str">
        <f>"average  "&amp;_xlfn.TEXTJOIN(", ",,TEXT(O64,"0.###"),TEXT(O63,"0.###"))</f>
        <v>average  0.787, 0.679</v>
      </c>
      <c r="W63" s="10" t="b">
        <f>AND(T63&gt;$C$77,T63&lt;$C$78)</f>
        <v>0</v>
      </c>
    </row>
    <row r="64" spans="2:31">
      <c r="B64" s="10" t="s">
        <v>119</v>
      </c>
      <c r="C64" s="10">
        <v>1.25</v>
      </c>
      <c r="M64" s="10">
        <v>1.5874010519681994</v>
      </c>
      <c r="N64" s="10">
        <v>5</v>
      </c>
      <c r="O64" s="23">
        <v>0.78745065618429577</v>
      </c>
      <c r="P64" s="10">
        <f t="shared" si="13"/>
        <v>1.1603972084031946</v>
      </c>
      <c r="Q64" s="10" t="str">
        <f t="shared" si="14"/>
        <v>ratio 5 / 4</v>
      </c>
      <c r="R64" s="14"/>
    </row>
    <row r="65" spans="2:23">
      <c r="B65" s="10" t="s">
        <v>126</v>
      </c>
      <c r="C65" s="10">
        <f>AVERAGE(C63:C64)</f>
        <v>1.125</v>
      </c>
      <c r="M65" s="10">
        <v>1.4059085320703328</v>
      </c>
      <c r="N65" s="10">
        <v>6</v>
      </c>
      <c r="O65" s="23">
        <v>0.8891047827693721</v>
      </c>
      <c r="P65" s="10">
        <f t="shared" si="13"/>
        <v>1.129092693982447</v>
      </c>
      <c r="Q65" s="10" t="str">
        <f t="shared" si="14"/>
        <v>ratio 6 / 5</v>
      </c>
      <c r="R65" s="14">
        <f>O65-O64</f>
        <v>0.10165412658507633</v>
      </c>
      <c r="S65" s="10" t="str">
        <f>"difference  "&amp;_xlfn.TEXTJOIN(" - ",,N65,N64)</f>
        <v>difference  6 - 5</v>
      </c>
      <c r="T65" s="14">
        <f>AVERAGE(O64:O65)</f>
        <v>0.83827771947683394</v>
      </c>
      <c r="U65" s="10" t="str">
        <f>"average  "&amp;_xlfn.TEXTJOIN(", ",,TEXT(O66,"0.###"),TEXT(O65,"0.###"))</f>
        <v>average  0.954, 0.889</v>
      </c>
      <c r="W65" s="10" t="b">
        <f>AND(T65&gt;$C$77,T65&lt;$C$78)</f>
        <v>0</v>
      </c>
    </row>
    <row r="66" spans="2:23">
      <c r="B66" s="10" t="s">
        <v>158</v>
      </c>
      <c r="C66" s="10">
        <f>ABS((C64-C63))/2</f>
        <v>0.125</v>
      </c>
      <c r="M66" s="10">
        <v>1.3103706971044482</v>
      </c>
      <c r="N66" s="10">
        <v>7</v>
      </c>
      <c r="O66" s="23">
        <v>0.95392853546111001</v>
      </c>
      <c r="P66" s="10">
        <f t="shared" si="13"/>
        <v>1.0729090135921051</v>
      </c>
      <c r="Q66" s="10" t="str">
        <f t="shared" si="14"/>
        <v>ratio 7 / 6</v>
      </c>
      <c r="R66" s="14"/>
    </row>
    <row r="67" spans="2:23">
      <c r="B67" s="10" t="s">
        <v>161</v>
      </c>
      <c r="C67" s="10">
        <f>C65+C66*((C61-C62)/(C61+C62))</f>
        <v>1.2</v>
      </c>
      <c r="M67" s="10">
        <v>1.2112118178531373</v>
      </c>
      <c r="N67" s="10">
        <v>8</v>
      </c>
      <c r="O67" s="23">
        <v>1.0320242764932848</v>
      </c>
      <c r="P67" s="10">
        <f t="shared" si="13"/>
        <v>1.0818674964937753</v>
      </c>
      <c r="Q67" s="10" t="str">
        <f t="shared" si="14"/>
        <v>ratio 8 / 7</v>
      </c>
      <c r="R67" s="14">
        <f>O67-O66</f>
        <v>7.8095741032174759E-2</v>
      </c>
      <c r="S67" s="10" t="str">
        <f>"difference  "&amp;_xlfn.TEXTJOIN(" - ",,N67,N66)</f>
        <v>difference  8 - 7</v>
      </c>
      <c r="T67" s="14">
        <f>AVERAGE(O66:O67)</f>
        <v>0.99297640597719738</v>
      </c>
      <c r="U67" s="10" t="str">
        <f>"average  "&amp;_xlfn.TEXTJOIN(", ",,TEXT(O68,"0.###"),TEXT(O67,"0.###"))</f>
        <v>average  1.211, 1.032</v>
      </c>
      <c r="W67" s="10" t="b">
        <f>AND(T67&gt;$C$77,T67&lt;$C$78)</f>
        <v>0</v>
      </c>
    </row>
    <row r="68" spans="2:23">
      <c r="B68" s="10" t="s">
        <v>162</v>
      </c>
      <c r="C68" s="10">
        <f>(C61+C62)/C60</f>
        <v>7.5075075075075072E-5</v>
      </c>
      <c r="M68" s="10">
        <v>0.42749398666917432</v>
      </c>
      <c r="N68" s="10">
        <v>9</v>
      </c>
      <c r="O68" s="23">
        <v>1.2112118178531373</v>
      </c>
      <c r="P68" s="10">
        <f t="shared" si="13"/>
        <v>1.1736272541656809</v>
      </c>
      <c r="Q68" s="10" t="str">
        <f t="shared" si="14"/>
        <v>ratio 9 / 8</v>
      </c>
      <c r="R68" s="14"/>
    </row>
    <row r="69" spans="2:23">
      <c r="B69" s="10" t="s">
        <v>164</v>
      </c>
      <c r="C69" s="10">
        <f>C64-C63</f>
        <v>0.25</v>
      </c>
      <c r="M69" s="10">
        <v>0.49606282874006236</v>
      </c>
      <c r="N69" s="10">
        <v>10</v>
      </c>
      <c r="O69" s="23">
        <v>1.3103706971044482</v>
      </c>
      <c r="P69" s="10">
        <f t="shared" si="13"/>
        <v>1.0818674964937753</v>
      </c>
      <c r="Q69" s="10" t="str">
        <f t="shared" si="14"/>
        <v>ratio 10 / 9</v>
      </c>
      <c r="R69" s="14">
        <f>O69-O68</f>
        <v>9.915887925131095E-2</v>
      </c>
      <c r="S69" s="10" t="str">
        <f>"difference  "&amp;_xlfn.TEXTJOIN(" - ",,N69,N68)</f>
        <v>difference  10 - 9</v>
      </c>
      <c r="T69" s="14">
        <f>AVERAGE(O68:O69)</f>
        <v>1.2607912574787927</v>
      </c>
      <c r="U69" s="10" t="str">
        <f>"average  "&amp;_xlfn.TEXTJOIN(", ",,TEXT(O70,"0.###"),TEXT(O69,"0.###"))</f>
        <v>average  1.406, 1.31</v>
      </c>
      <c r="W69" s="10" t="b">
        <f>AND(T69&gt;$C$77,T69&lt;$C$78)</f>
        <v>0</v>
      </c>
    </row>
    <row r="70" spans="2:23">
      <c r="B70" s="10" t="s">
        <v>166</v>
      </c>
      <c r="C70" s="10">
        <v>2</v>
      </c>
      <c r="M70" s="10">
        <v>0.60093732096142027</v>
      </c>
      <c r="N70" s="10">
        <v>11</v>
      </c>
      <c r="O70" s="23">
        <v>1.4059085320703328</v>
      </c>
      <c r="P70" s="10">
        <f t="shared" si="13"/>
        <v>1.0729090135921053</v>
      </c>
      <c r="Q70" s="10" t="str">
        <f t="shared" si="14"/>
        <v>ratio 11 / 10</v>
      </c>
      <c r="R70" s="14"/>
    </row>
    <row r="71" spans="2:23">
      <c r="B71" s="10" t="s">
        <v>167</v>
      </c>
      <c r="C71" s="10" cm="1">
        <f t="array" ref="C71">1-(C70*ROOT(C68,3))</f>
        <v>0.91562860029011017</v>
      </c>
      <c r="M71" s="10">
        <v>0.6786044041487268</v>
      </c>
      <c r="N71" s="10">
        <v>12</v>
      </c>
      <c r="O71" s="23">
        <v>1.5874010519681994</v>
      </c>
      <c r="P71" s="10">
        <f t="shared" si="13"/>
        <v>1.1290926939824468</v>
      </c>
      <c r="Q71" s="10" t="str">
        <f t="shared" si="14"/>
        <v>ratio 12 / 11</v>
      </c>
      <c r="R71" s="14">
        <f>O71-O70</f>
        <v>0.18149251989786652</v>
      </c>
      <c r="S71" s="10" t="str">
        <f>"difference  "&amp;_xlfn.TEXTJOIN(" - ",,N71,N70)</f>
        <v>difference  12 - 11</v>
      </c>
      <c r="T71" s="14">
        <f>AVERAGE(O70:O71)</f>
        <v>1.4966547920192661</v>
      </c>
      <c r="U71" s="10" t="str">
        <f>"average  "&amp;_xlfn.TEXTJOIN(", ",,TEXT(O72,"0.###"),TEXT(O71,"0.###"))</f>
        <v>average  1.842, 1.587</v>
      </c>
      <c r="W71" s="10" t="b">
        <f>AND(T71&gt;$C$77,T71&lt;$C$78)</f>
        <v>0</v>
      </c>
    </row>
    <row r="72" spans="2:23">
      <c r="B72" s="10" t="s">
        <v>165</v>
      </c>
      <c r="C72" s="10">
        <f>C69*C71</f>
        <v>0.22890715007252754</v>
      </c>
      <c r="M72" s="10">
        <v>0.78745065618429577</v>
      </c>
      <c r="N72" s="10">
        <v>13</v>
      </c>
      <c r="O72" s="23">
        <v>1.8420157493201932</v>
      </c>
      <c r="P72" s="10">
        <f t="shared" si="13"/>
        <v>1.1603972084031948</v>
      </c>
      <c r="Q72" s="10" t="str">
        <f t="shared" si="14"/>
        <v>ratio 13 / 12</v>
      </c>
    </row>
    <row r="73" spans="2:23">
      <c r="B73" s="10" t="s">
        <v>170</v>
      </c>
      <c r="C73" s="10">
        <f>C61/(C61+C62)</f>
        <v>0.8</v>
      </c>
      <c r="M73" s="10">
        <v>0.8891047827693721</v>
      </c>
      <c r="N73" s="10">
        <v>14</v>
      </c>
      <c r="O73" s="23">
        <v>2.0800838230519041</v>
      </c>
      <c r="P73" s="10">
        <f t="shared" si="13"/>
        <v>1.1292432346572343</v>
      </c>
      <c r="Q73" s="10" t="str">
        <f t="shared" si="14"/>
        <v>ratio 14 / 13</v>
      </c>
      <c r="R73" s="25">
        <f>O73-O72</f>
        <v>0.23806807373171091</v>
      </c>
      <c r="S73" s="10" t="str">
        <f>"difference  "&amp;_xlfn.TEXTJOIN(" - ",,N73,N72)</f>
        <v>difference  14 - 13</v>
      </c>
      <c r="T73" s="14">
        <f>AVERAGE(O72:O73)</f>
        <v>1.9610497861860487</v>
      </c>
      <c r="U73" s="10" t="str">
        <f>"average  "&amp;_xlfn.TEXTJOIN(", ",,TEXT(O74,"0.###"),TEXT(O73,"0.###"))</f>
        <v>average  2.52, 2.08</v>
      </c>
      <c r="W73" s="10" t="b">
        <f>AND(T73&gt;$C$77,T73&lt;$C$78)</f>
        <v>0</v>
      </c>
    </row>
    <row r="74" spans="2:23">
      <c r="B74" s="10" t="s">
        <v>171</v>
      </c>
      <c r="C74" s="10">
        <f>C62/(C61+C62)</f>
        <v>0.2</v>
      </c>
      <c r="M74" s="10">
        <v>0.95392853546111001</v>
      </c>
      <c r="N74" s="10">
        <v>15</v>
      </c>
      <c r="O74" s="23">
        <v>2.5198420997897459</v>
      </c>
      <c r="P74" s="10">
        <f t="shared" si="13"/>
        <v>1.2114137285547597</v>
      </c>
      <c r="Q74" s="10" t="str">
        <f t="shared" si="14"/>
        <v>ratio 15 / 14</v>
      </c>
    </row>
    <row r="75" spans="2:23">
      <c r="B75" s="10" t="s">
        <v>172</v>
      </c>
      <c r="C75" s="10">
        <f>C72*C73</f>
        <v>0.18312572005802205</v>
      </c>
      <c r="M75" s="10">
        <v>1.0320242764932848</v>
      </c>
      <c r="N75" s="10">
        <v>16</v>
      </c>
      <c r="O75" s="23">
        <v>2.924017738212866</v>
      </c>
      <c r="P75" s="10">
        <f t="shared" si="13"/>
        <v>1.1603972084031948</v>
      </c>
      <c r="Q75" s="10" t="str">
        <f t="shared" si="14"/>
        <v>ratio 16 / 15</v>
      </c>
      <c r="R75" s="25">
        <f>O75-O74</f>
        <v>0.4041756384231201</v>
      </c>
      <c r="S75" s="10" t="str">
        <f>"difference  "&amp;_xlfn.TEXTJOIN(" - ",,N75,N74)</f>
        <v>difference  16 - 15</v>
      </c>
      <c r="T75" s="14">
        <f>AVERAGE(O74:O75)</f>
        <v>2.721929919001306</v>
      </c>
      <c r="U75" s="10" t="str">
        <f>"average  "&amp;_xlfn.TEXTJOIN(", ",,TEXT(O75,"0.###"),TEXT(O74,"0.###"))</f>
        <v>average  2.924, 2.52</v>
      </c>
      <c r="W75" s="10" t="b">
        <f>AND(T75&gt;$C$77,T75&lt;$C$78)</f>
        <v>0</v>
      </c>
    </row>
    <row r="76" spans="2:23">
      <c r="B76" s="10" t="s">
        <v>173</v>
      </c>
      <c r="C76" s="10">
        <f>C72*C74</f>
        <v>4.5781430014505513E-2</v>
      </c>
    </row>
    <row r="77" spans="2:23">
      <c r="B77" s="10" t="s">
        <v>168</v>
      </c>
      <c r="C77" s="10">
        <f>C67-C75</f>
        <v>1.0168742799419779</v>
      </c>
      <c r="D77" s="10" t="s">
        <v>174</v>
      </c>
      <c r="E77" s="10">
        <f>C77-C63</f>
        <v>1.6874279941977877E-2</v>
      </c>
      <c r="H77" s="10">
        <f>C65-C77</f>
        <v>0.10812572005802212</v>
      </c>
    </row>
    <row r="78" spans="2:23">
      <c r="B78" s="10" t="s">
        <v>169</v>
      </c>
      <c r="C78" s="10">
        <f>C67+C76</f>
        <v>1.2457814300145054</v>
      </c>
      <c r="D78" s="10" t="s">
        <v>175</v>
      </c>
      <c r="E78" s="10">
        <f>C64-C78</f>
        <v>4.2185699854946357E-3</v>
      </c>
      <c r="H78" s="10">
        <f>C78-C65</f>
        <v>0.12078143001450536</v>
      </c>
    </row>
    <row r="79" spans="2:23">
      <c r="O79" s="10" t="s">
        <v>134</v>
      </c>
    </row>
    <row r="80" spans="2:23">
      <c r="O80" s="10">
        <v>5</v>
      </c>
      <c r="Q80" s="10" t="s">
        <v>136</v>
      </c>
      <c r="R80" s="10" t="s">
        <v>136</v>
      </c>
      <c r="S80" s="10" t="s">
        <v>137</v>
      </c>
      <c r="T80" s="10" t="s">
        <v>139</v>
      </c>
      <c r="U80" s="10" t="s">
        <v>141</v>
      </c>
    </row>
    <row r="81" spans="14:22">
      <c r="O81" s="10" t="s">
        <v>135</v>
      </c>
      <c r="Q81" s="10" t="s">
        <v>134</v>
      </c>
      <c r="R81" s="10" t="s">
        <v>135</v>
      </c>
      <c r="S81" s="10" t="s">
        <v>138</v>
      </c>
      <c r="T81" s="10" t="s">
        <v>140</v>
      </c>
      <c r="U81" s="10" t="s">
        <v>140</v>
      </c>
    </row>
    <row r="82" spans="14:22">
      <c r="O82" s="10">
        <v>50</v>
      </c>
    </row>
    <row r="83" spans="14:22">
      <c r="O83" s="10" t="s">
        <v>132</v>
      </c>
      <c r="P83" s="16">
        <f>N48</f>
        <v>1</v>
      </c>
    </row>
    <row r="84" spans="14:22">
      <c r="N84" s="14"/>
      <c r="O84" s="10" t="s">
        <v>133</v>
      </c>
      <c r="P84" s="14">
        <f>C77</f>
        <v>1.0168742799419779</v>
      </c>
    </row>
    <row r="85" spans="14:22">
      <c r="O85" s="10" t="s">
        <v>127</v>
      </c>
      <c r="P85" s="14">
        <f>T65</f>
        <v>0.83827771947683394</v>
      </c>
      <c r="Q85" s="10">
        <f>P85*SQRT($O$80/333000)</f>
        <v>3.2482601833578556E-3</v>
      </c>
      <c r="R85" s="22">
        <f>Q85*SQRT($O$82/333000)</f>
        <v>3.9802806386163474E-5</v>
      </c>
      <c r="S85" s="10">
        <f>AVERAGE(Q85:R85)</f>
        <v>1.6440314948720095E-3</v>
      </c>
      <c r="T85" s="14">
        <f>P85-(S85/2)</f>
        <v>0.83745570372939793</v>
      </c>
      <c r="U85" s="14">
        <f>P85+(S85/2)</f>
        <v>0.83909973522426995</v>
      </c>
      <c r="V85" s="14"/>
    </row>
    <row r="86" spans="14:22">
      <c r="O86" s="10" t="s">
        <v>128</v>
      </c>
      <c r="P86" s="14">
        <f>T67</f>
        <v>0.99297640597719738</v>
      </c>
      <c r="Q86" s="10">
        <f t="shared" ref="Q86:Q89" si="15">P86*SQRT($O$80/333000)</f>
        <v>3.8477054174391088E-3</v>
      </c>
      <c r="R86" s="22">
        <f t="shared" ref="R86:R89" si="16">Q86*SQRT($O$82/333000)</f>
        <v>4.7148154740179854E-5</v>
      </c>
      <c r="S86" s="10">
        <f t="shared" ref="S86:S89" si="17">AVERAGE(Q86:R86)</f>
        <v>1.9474267860896443E-3</v>
      </c>
      <c r="T86" s="14">
        <f t="shared" ref="T86:T89" si="18">P86-(S86/2)</f>
        <v>0.99200269258415252</v>
      </c>
      <c r="U86" s="14">
        <f t="shared" ref="U86:U89" si="19">P86+(S86/2)</f>
        <v>0.99395011937024225</v>
      </c>
    </row>
    <row r="87" spans="14:22">
      <c r="O87" s="10" t="s">
        <v>129</v>
      </c>
      <c r="P87" s="14">
        <f>T69</f>
        <v>1.2607912574787927</v>
      </c>
      <c r="Q87" s="10">
        <f t="shared" si="15"/>
        <v>4.8854668876920108E-3</v>
      </c>
      <c r="R87" s="22">
        <f t="shared" si="16"/>
        <v>5.9864444859771546E-5</v>
      </c>
      <c r="S87" s="10">
        <f t="shared" si="17"/>
        <v>2.472665666275891E-3</v>
      </c>
      <c r="T87" s="14">
        <f t="shared" si="18"/>
        <v>1.2595549246456548</v>
      </c>
      <c r="U87" s="14">
        <f t="shared" si="19"/>
        <v>1.2620275903119307</v>
      </c>
    </row>
    <row r="88" spans="14:22">
      <c r="O88" s="10" t="s">
        <v>156</v>
      </c>
      <c r="P88" s="14">
        <f>T71</f>
        <v>1.4966547920192661</v>
      </c>
      <c r="Q88" s="10">
        <f t="shared" si="15"/>
        <v>5.7994195195620541E-3</v>
      </c>
      <c r="R88" s="22">
        <f t="shared" si="16"/>
        <v>7.1063633840637793E-5</v>
      </c>
      <c r="S88" s="10">
        <f t="shared" si="17"/>
        <v>2.9352415767013459E-3</v>
      </c>
      <c r="T88" s="14">
        <f t="shared" si="18"/>
        <v>1.4951871712309155</v>
      </c>
      <c r="U88" s="14">
        <f t="shared" si="19"/>
        <v>1.4981224128076167</v>
      </c>
    </row>
    <row r="89" spans="14:22">
      <c r="O89" s="10" t="s">
        <v>157</v>
      </c>
      <c r="P89" s="14">
        <f>T73</f>
        <v>1.9610497861860487</v>
      </c>
      <c r="Q89" s="10">
        <f t="shared" si="15"/>
        <v>7.5989135701066603E-3</v>
      </c>
      <c r="R89" s="22">
        <f t="shared" si="16"/>
        <v>9.3113872812824593E-5</v>
      </c>
      <c r="S89" s="10">
        <f t="shared" si="17"/>
        <v>3.8460137214597423E-3</v>
      </c>
      <c r="T89" s="14">
        <f t="shared" si="18"/>
        <v>1.9591267793253189</v>
      </c>
      <c r="U89" s="14">
        <f t="shared" si="19"/>
        <v>1.9629727930467786</v>
      </c>
    </row>
    <row r="90" spans="14:22">
      <c r="O90" s="10" t="s">
        <v>130</v>
      </c>
      <c r="P90" s="14">
        <f>C78</f>
        <v>1.2457814300145054</v>
      </c>
    </row>
    <row r="91" spans="14:22">
      <c r="O91" s="10" t="s">
        <v>131</v>
      </c>
      <c r="P91" s="16">
        <f>S48</f>
        <v>1.25</v>
      </c>
    </row>
    <row r="95" spans="14:22">
      <c r="O95" s="10" t="s">
        <v>144</v>
      </c>
      <c r="P95" s="10" t="s">
        <v>155</v>
      </c>
      <c r="Q95" s="10" t="s">
        <v>153</v>
      </c>
      <c r="R95" s="10" t="s">
        <v>154</v>
      </c>
    </row>
    <row r="96" spans="14:22">
      <c r="N96" s="10" t="s">
        <v>142</v>
      </c>
      <c r="O96" s="16">
        <f>P83</f>
        <v>1</v>
      </c>
    </row>
    <row r="97" spans="14:18">
      <c r="N97" s="10" t="s">
        <v>151</v>
      </c>
      <c r="O97" s="16">
        <f>Q97-P97</f>
        <v>1.6874279941977877E-2</v>
      </c>
      <c r="P97" s="14">
        <f>O96</f>
        <v>1</v>
      </c>
      <c r="Q97" s="14">
        <f>P84</f>
        <v>1.0168742799419779</v>
      </c>
      <c r="R97" s="14">
        <f>Q97-P97</f>
        <v>1.6874279941977877E-2</v>
      </c>
    </row>
    <row r="98" spans="14:18">
      <c r="N98" s="10" t="s">
        <v>143</v>
      </c>
      <c r="O98" s="23">
        <f>AVERAGE(P98:Q98)</f>
        <v>0.9271649918356879</v>
      </c>
      <c r="P98" s="14">
        <f>Q97</f>
        <v>1.0168742799419779</v>
      </c>
      <c r="Q98" s="14">
        <f>T85</f>
        <v>0.83745570372939793</v>
      </c>
      <c r="R98" s="14">
        <f t="shared" ref="R98:R109" si="20">Q98-P98</f>
        <v>-0.17941857621257995</v>
      </c>
    </row>
    <row r="99" spans="14:18">
      <c r="N99" s="10" t="s">
        <v>145</v>
      </c>
      <c r="O99" s="23">
        <f>AVERAGE(P99:Q99)</f>
        <v>0.83827771947683394</v>
      </c>
      <c r="P99" s="14" cm="1">
        <f t="array" ref="P99:Q99">T85:U85</f>
        <v>0.83745570372939793</v>
      </c>
      <c r="Q99" s="14">
        <v>0.83909973522426995</v>
      </c>
      <c r="R99" s="14">
        <f t="shared" si="20"/>
        <v>1.6440314948720225E-3</v>
      </c>
    </row>
    <row r="100" spans="14:18">
      <c r="N100" s="10" t="s">
        <v>146</v>
      </c>
      <c r="O100" s="23">
        <f>AVERAGE(P100:Q100)</f>
        <v>0.91555121390421124</v>
      </c>
      <c r="P100" s="14">
        <f>U85</f>
        <v>0.83909973522426995</v>
      </c>
      <c r="Q100" s="14">
        <f>T86</f>
        <v>0.99200269258415252</v>
      </c>
      <c r="R100" s="14">
        <f t="shared" si="20"/>
        <v>0.15290295735988257</v>
      </c>
    </row>
    <row r="101" spans="14:18">
      <c r="N101" s="10" t="s">
        <v>147</v>
      </c>
      <c r="O101" s="23">
        <f>AVERAGE(P101:Q101)</f>
        <v>0.99297640597719738</v>
      </c>
      <c r="P101" s="14" cm="1">
        <f t="array" ref="P101:Q101">T86:U86</f>
        <v>0.99200269258415252</v>
      </c>
      <c r="Q101" s="14">
        <v>0.99395011937024225</v>
      </c>
      <c r="R101" s="14">
        <f t="shared" si="20"/>
        <v>1.9474267860897232E-3</v>
      </c>
    </row>
    <row r="102" spans="14:18">
      <c r="N102" s="10" t="s">
        <v>148</v>
      </c>
      <c r="O102" s="23">
        <f>AVERAGE(P102:Q102)</f>
        <v>1.1267525220079486</v>
      </c>
      <c r="P102" s="14">
        <f>Q101</f>
        <v>0.99395011937024225</v>
      </c>
      <c r="Q102" s="14">
        <f>T87</f>
        <v>1.2595549246456548</v>
      </c>
      <c r="R102" s="14">
        <f t="shared" si="20"/>
        <v>0.26560480527541253</v>
      </c>
    </row>
    <row r="103" spans="14:18">
      <c r="N103" s="10" t="s">
        <v>149</v>
      </c>
      <c r="O103" s="23">
        <f>AVERAGE(P103:Q103)</f>
        <v>1.2607912574787927</v>
      </c>
      <c r="P103" s="14" cm="1">
        <f t="array" ref="P103:Q103">T87:U87</f>
        <v>1.2595549246456548</v>
      </c>
      <c r="Q103" s="14">
        <v>1.2620275903119307</v>
      </c>
      <c r="R103" s="14">
        <f t="shared" si="20"/>
        <v>2.4726656662759083E-3</v>
      </c>
    </row>
    <row r="104" spans="14:18">
      <c r="N104" s="10" t="s">
        <v>150</v>
      </c>
      <c r="O104" s="23">
        <f>AVERAGE(P104:Q104)</f>
        <v>1.378607380771423</v>
      </c>
      <c r="P104" s="14">
        <f>Q103</f>
        <v>1.2620275903119307</v>
      </c>
      <c r="Q104" s="14">
        <f>T88</f>
        <v>1.4951871712309155</v>
      </c>
      <c r="R104" s="14">
        <f t="shared" si="20"/>
        <v>0.23315958091898481</v>
      </c>
    </row>
    <row r="105" spans="14:18">
      <c r="N105" s="10" t="s">
        <v>176</v>
      </c>
      <c r="O105" s="23">
        <f>AVERAGE(P105:Q105)</f>
        <v>1.4966547920192661</v>
      </c>
      <c r="P105" s="14" cm="1">
        <f t="array" ref="P105:Q105">T88:U88</f>
        <v>1.4951871712309155</v>
      </c>
      <c r="Q105" s="14">
        <v>1.4981224128076167</v>
      </c>
      <c r="R105" s="14">
        <f t="shared" si="20"/>
        <v>2.9352415767012197E-3</v>
      </c>
    </row>
    <row r="106" spans="14:18">
      <c r="N106" s="10" t="s">
        <v>177</v>
      </c>
      <c r="O106" s="23">
        <f>AVERAGE(P106:Q106)</f>
        <v>1.7286245960664677</v>
      </c>
      <c r="P106" s="14">
        <f>Q105</f>
        <v>1.4981224128076167</v>
      </c>
      <c r="Q106" s="14">
        <f>T89</f>
        <v>1.9591267793253189</v>
      </c>
      <c r="R106" s="14">
        <f t="shared" si="20"/>
        <v>0.46100436651770216</v>
      </c>
    </row>
    <row r="107" spans="14:18">
      <c r="N107" s="10" t="s">
        <v>178</v>
      </c>
      <c r="O107" s="23">
        <f>AVERAGE(P107:Q107)</f>
        <v>1.9610497861860487</v>
      </c>
      <c r="P107" s="14" cm="1">
        <f t="array" ref="P107:Q107">T89:U89</f>
        <v>1.9591267793253189</v>
      </c>
      <c r="Q107" s="14">
        <v>1.9629727930467786</v>
      </c>
      <c r="R107" s="14">
        <f t="shared" si="20"/>
        <v>3.8460137214597623E-3</v>
      </c>
    </row>
    <row r="108" spans="14:18">
      <c r="N108" s="10" t="s">
        <v>177</v>
      </c>
      <c r="O108" s="23">
        <f>AVERAGE(P108:Q108)</f>
        <v>1.604377111530642</v>
      </c>
      <c r="P108" s="14">
        <f>Q107</f>
        <v>1.9629727930467786</v>
      </c>
      <c r="Q108" s="14">
        <f>P90</f>
        <v>1.2457814300145054</v>
      </c>
      <c r="R108" s="14">
        <f t="shared" si="20"/>
        <v>-0.71719136303227327</v>
      </c>
    </row>
    <row r="109" spans="14:18">
      <c r="N109" s="10" t="s">
        <v>152</v>
      </c>
      <c r="O109" s="23">
        <f>AVERAGE(P109:Q109)</f>
        <v>2.855890715007253</v>
      </c>
      <c r="P109" s="14">
        <f>Q108</f>
        <v>1.2457814300145054</v>
      </c>
      <c r="Q109" s="14">
        <f>O110</f>
        <v>4.4660000000000002</v>
      </c>
      <c r="R109" s="14">
        <f t="shared" si="20"/>
        <v>3.2202185699854948</v>
      </c>
    </row>
    <row r="110" spans="14:18">
      <c r="N110" s="10" t="s">
        <v>142</v>
      </c>
      <c r="O110" s="10">
        <v>4.4660000000000002</v>
      </c>
      <c r="P110" s="14"/>
      <c r="Q110" s="14"/>
      <c r="R110" s="14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K52"/>
  <sheetViews>
    <sheetView tabSelected="1" topLeftCell="A9" workbookViewId="0">
      <selection activeCell="H36" sqref="H36"/>
    </sheetView>
  </sheetViews>
  <sheetFormatPr baseColWidth="10" defaultRowHeight="16"/>
  <cols>
    <col min="1" max="1" width="10.83203125" style="6"/>
    <col min="2" max="2" width="15.1640625" style="6" bestFit="1" customWidth="1"/>
    <col min="3" max="3" width="12.83203125" style="6" bestFit="1" customWidth="1"/>
    <col min="4" max="4" width="15.1640625" style="6" bestFit="1" customWidth="1"/>
    <col min="5" max="5" width="18.83203125" style="6" bestFit="1" customWidth="1"/>
    <col min="6" max="6" width="20.83203125" style="6" bestFit="1" customWidth="1"/>
    <col min="7" max="8" width="8.1640625" style="6" bestFit="1" customWidth="1"/>
    <col min="9" max="10" width="18.83203125" style="6" bestFit="1" customWidth="1"/>
    <col min="11" max="16384" width="10.83203125" style="6"/>
  </cols>
  <sheetData>
    <row r="2" spans="2:5">
      <c r="B2" s="10" t="s">
        <v>163</v>
      </c>
      <c r="C2" s="16">
        <v>333000</v>
      </c>
      <c r="D2" s="10"/>
      <c r="E2" s="10"/>
    </row>
    <row r="3" spans="2:5">
      <c r="B3" s="6" t="s">
        <v>180</v>
      </c>
      <c r="C3" s="7">
        <v>1.181</v>
      </c>
    </row>
    <row r="4" spans="2:5">
      <c r="B4" s="10" t="s">
        <v>159</v>
      </c>
      <c r="C4" s="16">
        <v>20</v>
      </c>
      <c r="D4" s="10"/>
      <c r="E4" s="10"/>
    </row>
    <row r="5" spans="2:5">
      <c r="B5" s="10" t="s">
        <v>160</v>
      </c>
      <c r="C5" s="16">
        <v>5</v>
      </c>
      <c r="D5" s="10"/>
      <c r="E5" s="10"/>
    </row>
    <row r="6" spans="2:5">
      <c r="B6" s="10" t="s">
        <v>113</v>
      </c>
      <c r="C6" s="16">
        <v>10</v>
      </c>
      <c r="D6" s="16">
        <f>SQRT(C6^3/C3)</f>
        <v>29.09879809896627</v>
      </c>
      <c r="E6" s="10"/>
    </row>
    <row r="7" spans="2:5">
      <c r="B7" s="10" t="s">
        <v>119</v>
      </c>
      <c r="C7" s="16">
        <v>12</v>
      </c>
      <c r="D7" s="16">
        <f>SQRT(C7^3/C3)</f>
        <v>38.251363476221449</v>
      </c>
      <c r="E7" s="10"/>
    </row>
    <row r="8" spans="2:5">
      <c r="B8" s="10" t="s">
        <v>126</v>
      </c>
      <c r="C8" s="16">
        <f>AVERAGE(C6:C7)</f>
        <v>11</v>
      </c>
      <c r="D8" s="10"/>
      <c r="E8" s="10"/>
    </row>
    <row r="9" spans="2:5">
      <c r="B9" s="10" t="s">
        <v>158</v>
      </c>
      <c r="C9" s="16">
        <f>ABS((C7-C6))/2</f>
        <v>1</v>
      </c>
      <c r="D9" s="10"/>
      <c r="E9" s="10"/>
    </row>
    <row r="10" spans="2:5">
      <c r="B10" s="10" t="s">
        <v>161</v>
      </c>
      <c r="C10" s="16">
        <f>C8+C9*((C4-C5)/(C4+C5))</f>
        <v>11.6</v>
      </c>
      <c r="D10" s="10"/>
      <c r="E10" s="10"/>
    </row>
    <row r="11" spans="2:5">
      <c r="B11" s="10" t="s">
        <v>162</v>
      </c>
      <c r="C11" s="16">
        <f>(C4+C5)/C2</f>
        <v>7.5075075075075072E-5</v>
      </c>
      <c r="D11" s="10"/>
      <c r="E11" s="10"/>
    </row>
    <row r="12" spans="2:5">
      <c r="B12" s="10" t="s">
        <v>164</v>
      </c>
      <c r="C12" s="16">
        <f>C7-C6</f>
        <v>2</v>
      </c>
      <c r="D12" s="10"/>
      <c r="E12" s="10"/>
    </row>
    <row r="13" spans="2:5">
      <c r="B13" s="10" t="s">
        <v>166</v>
      </c>
      <c r="C13" s="16">
        <v>2</v>
      </c>
      <c r="D13" s="10"/>
      <c r="E13" s="10"/>
    </row>
    <row r="14" spans="2:5">
      <c r="B14" s="10" t="s">
        <v>167</v>
      </c>
      <c r="C14" s="16" cm="1">
        <f t="array" ref="C14">1-(C13*ROOT(C11,3))</f>
        <v>0.91562860029011017</v>
      </c>
      <c r="D14" s="10"/>
      <c r="E14" s="10"/>
    </row>
    <row r="15" spans="2:5">
      <c r="B15" s="10" t="s">
        <v>165</v>
      </c>
      <c r="C15" s="16">
        <f>C12*C14</f>
        <v>1.8312572005802203</v>
      </c>
      <c r="D15" s="10"/>
      <c r="E15" s="10"/>
    </row>
    <row r="16" spans="2:5">
      <c r="B16" s="10" t="s">
        <v>170</v>
      </c>
      <c r="C16" s="16">
        <f>C4/(C4+C5)</f>
        <v>0.8</v>
      </c>
      <c r="D16" s="10"/>
      <c r="E16" s="10"/>
    </row>
    <row r="17" spans="2:10">
      <c r="B17" s="10" t="s">
        <v>171</v>
      </c>
      <c r="C17" s="16">
        <f>C5/(C4+C5)</f>
        <v>0.2</v>
      </c>
      <c r="D17" s="10"/>
      <c r="E17" s="10"/>
    </row>
    <row r="18" spans="2:10">
      <c r="B18" s="10" t="s">
        <v>172</v>
      </c>
      <c r="C18" s="16">
        <f>C15*C16</f>
        <v>1.4650057604641764</v>
      </c>
      <c r="D18" s="10"/>
      <c r="E18" s="10"/>
    </row>
    <row r="19" spans="2:10">
      <c r="B19" s="10" t="s">
        <v>173</v>
      </c>
      <c r="C19" s="16">
        <f>C15*C17</f>
        <v>0.3662514401160441</v>
      </c>
      <c r="D19" s="10"/>
      <c r="E19" s="10"/>
    </row>
    <row r="20" spans="2:10">
      <c r="B20" s="10" t="s">
        <v>168</v>
      </c>
      <c r="C20" s="16">
        <f>C10-C18</f>
        <v>10.134994239535823</v>
      </c>
      <c r="D20" s="10" t="s">
        <v>174</v>
      </c>
      <c r="E20" s="16">
        <f>C20-C6</f>
        <v>0.13499423953582301</v>
      </c>
    </row>
    <row r="21" spans="2:10">
      <c r="B21" s="10" t="s">
        <v>169</v>
      </c>
      <c r="C21" s="16">
        <f>C10+C19</f>
        <v>11.966251440116043</v>
      </c>
      <c r="D21" s="10" t="s">
        <v>175</v>
      </c>
      <c r="E21" s="16">
        <f>C7-C21</f>
        <v>3.3748559883957086E-2</v>
      </c>
    </row>
    <row r="23" spans="2:10">
      <c r="B23" s="10" t="s">
        <v>179</v>
      </c>
      <c r="C23" s="14">
        <v>1.181</v>
      </c>
      <c r="D23" s="10"/>
      <c r="E23" s="10"/>
      <c r="F23" s="10"/>
      <c r="G23" s="10"/>
      <c r="H23" s="10"/>
      <c r="I23" s="10"/>
      <c r="J23" s="10"/>
    </row>
    <row r="24" spans="2:10">
      <c r="B24" s="10"/>
      <c r="C24" s="10"/>
      <c r="D24" s="10"/>
      <c r="E24" s="10" t="s">
        <v>121</v>
      </c>
      <c r="F24" s="10"/>
      <c r="G24" s="10"/>
      <c r="H24" s="10"/>
      <c r="I24" s="10" t="s">
        <v>123</v>
      </c>
    </row>
    <row r="25" spans="2:10">
      <c r="B25" s="10" t="s">
        <v>113</v>
      </c>
      <c r="C25" s="16" cm="1">
        <f t="array" ref="C25:C26">TRANSPOSE(C6:D6)</f>
        <v>10</v>
      </c>
      <c r="D25" s="10"/>
      <c r="E25" s="10" t="s">
        <v>122</v>
      </c>
      <c r="F25" s="10" t="s">
        <v>119</v>
      </c>
      <c r="G25" s="16" cm="1">
        <f t="array" ref="G25:G26">TRANSPOSE(C7:D7)</f>
        <v>12</v>
      </c>
      <c r="H25" s="10"/>
      <c r="I25" s="10" t="s">
        <v>122</v>
      </c>
    </row>
    <row r="26" spans="2:10">
      <c r="B26" s="10" t="s">
        <v>115</v>
      </c>
      <c r="C26" s="16">
        <v>29.09879809896627</v>
      </c>
      <c r="D26" s="10" t="s">
        <v>114</v>
      </c>
      <c r="E26" s="10"/>
      <c r="F26" s="10" t="s">
        <v>120</v>
      </c>
      <c r="G26" s="16">
        <v>38.251363476221449</v>
      </c>
      <c r="H26" s="10" t="s">
        <v>114</v>
      </c>
      <c r="I26" s="10"/>
    </row>
    <row r="27" spans="2:10">
      <c r="B27" s="10" t="s">
        <v>108</v>
      </c>
      <c r="C27" s="10" t="s">
        <v>95</v>
      </c>
      <c r="D27" s="10">
        <v>5</v>
      </c>
      <c r="E27" s="16" cm="1">
        <f t="array" ref="E27">ROOT((C26*D27)^2*$C$3,3)</f>
        <v>29.24017738212866</v>
      </c>
      <c r="F27" s="10" t="s">
        <v>108</v>
      </c>
      <c r="G27" s="10" t="s">
        <v>95</v>
      </c>
      <c r="H27" s="10">
        <v>5</v>
      </c>
      <c r="I27" s="16" cm="1">
        <f t="array" ref="I27">ROOT((G26/H27)^2*$C$3,3)</f>
        <v>4.1039422720240717</v>
      </c>
    </row>
    <row r="28" spans="2:10">
      <c r="B28" s="10" t="s">
        <v>109</v>
      </c>
      <c r="C28" s="10" t="s">
        <v>94</v>
      </c>
      <c r="D28" s="10">
        <v>4</v>
      </c>
      <c r="E28" s="16" cm="1">
        <f t="array" ref="E28">ROOT((C27*D28)^2*$C$3,3)</f>
        <v>0.93812194596902154</v>
      </c>
      <c r="F28" s="10" t="s">
        <v>109</v>
      </c>
      <c r="G28" s="10" t="s">
        <v>94</v>
      </c>
      <c r="H28" s="10">
        <v>4</v>
      </c>
      <c r="I28" s="16" cm="1">
        <f t="array" ref="I28">ROOT((G27/H28)^2*$C$3,3)</f>
        <v>0.14774494838683891</v>
      </c>
    </row>
    <row r="29" spans="2:10">
      <c r="B29" s="10" t="s">
        <v>110</v>
      </c>
      <c r="C29" s="10" t="s">
        <v>92</v>
      </c>
      <c r="D29" s="10">
        <v>3</v>
      </c>
      <c r="E29" s="16" cm="1">
        <f t="array" ref="E29">ROOT((C28*D29)^2*$C$3,3)</f>
        <v>0.66772940632191791</v>
      </c>
      <c r="F29" s="10" t="s">
        <v>110</v>
      </c>
      <c r="G29" s="10" t="s">
        <v>92</v>
      </c>
      <c r="H29" s="10">
        <v>3</v>
      </c>
      <c r="I29" s="16" cm="1">
        <f t="array" ref="I29">ROOT((G28/H29)^2*$C$3,3)</f>
        <v>0.15432590402958593</v>
      </c>
    </row>
    <row r="30" spans="2:10">
      <c r="B30" s="10" t="s">
        <v>111</v>
      </c>
      <c r="C30" s="10" t="s">
        <v>98</v>
      </c>
      <c r="D30" s="10">
        <v>2.5</v>
      </c>
      <c r="E30" s="16" cm="1">
        <f t="array" ref="E30">ROOT((C29*D30)^2*$C$3,3)</f>
        <v>0.48856313470170409</v>
      </c>
      <c r="F30" s="10" t="s">
        <v>111</v>
      </c>
      <c r="G30" s="10" t="s">
        <v>98</v>
      </c>
      <c r="H30" s="10">
        <v>2.5</v>
      </c>
      <c r="I30" s="16" cm="1">
        <f t="array" ref="I30">ROOT((G29/H30)^2*$C$3,3)</f>
        <v>0.14399055818524514</v>
      </c>
    </row>
    <row r="31" spans="2:10">
      <c r="B31" s="10" t="s">
        <v>112</v>
      </c>
      <c r="C31" s="10" t="s">
        <v>93</v>
      </c>
      <c r="D31" s="10">
        <v>2</v>
      </c>
      <c r="E31" s="16" cm="1">
        <f t="array" ref="E31">ROOT((C30*D31)^2*$C$3,3)</f>
        <v>0.5922879951961999</v>
      </c>
      <c r="F31" s="10" t="s">
        <v>112</v>
      </c>
      <c r="G31" s="10" t="s">
        <v>93</v>
      </c>
      <c r="H31" s="10">
        <v>2</v>
      </c>
      <c r="I31" s="16" cm="1">
        <f t="array" ref="I31">ROOT((G30/H31)^2*$C$3,3)</f>
        <v>0.23504964666064596</v>
      </c>
    </row>
    <row r="32" spans="2:10">
      <c r="B32" s="10" t="s">
        <v>116</v>
      </c>
      <c r="C32" s="10" t="s">
        <v>103</v>
      </c>
      <c r="D32" s="10">
        <v>1.667</v>
      </c>
      <c r="E32" s="16" cm="1">
        <f t="array" ref="E32">ROOT((C31*D32)^2*$C$3,3)</f>
        <v>0.28509457364797136</v>
      </c>
      <c r="F32" s="10" t="s">
        <v>116</v>
      </c>
      <c r="G32" s="10" t="s">
        <v>103</v>
      </c>
      <c r="H32" s="10">
        <v>1.667</v>
      </c>
      <c r="I32" s="16" cm="1">
        <f t="array" ref="I32">ROOT((G31/H32)^2*$C$3,3)</f>
        <v>0.14423638135191319</v>
      </c>
    </row>
    <row r="33" spans="2:11">
      <c r="B33" s="10" t="s">
        <v>117</v>
      </c>
      <c r="C33" s="10" t="s">
        <v>96</v>
      </c>
      <c r="D33" s="10">
        <v>1.5</v>
      </c>
      <c r="E33" s="16" cm="1">
        <f t="array" ref="E33">ROOT((C32*D33)^2*$C$3,3)</f>
        <v>0.49000167301681319</v>
      </c>
      <c r="F33" s="10" t="s">
        <v>117</v>
      </c>
      <c r="G33" s="10" t="s">
        <v>96</v>
      </c>
      <c r="H33" s="10">
        <v>1.5</v>
      </c>
      <c r="I33" s="16" cm="1">
        <f t="array" ref="I33">ROOT((G32/H33)^2*$C$3,3)</f>
        <v>0.28537059282372779</v>
      </c>
    </row>
    <row r="34" spans="2:11">
      <c r="B34" s="10" t="s">
        <v>118</v>
      </c>
      <c r="C34" s="10" t="s">
        <v>97</v>
      </c>
      <c r="D34" s="10">
        <v>1.333</v>
      </c>
      <c r="E34" s="16" cm="1">
        <f t="array" ref="E34">ROOT((C33*D34)^2*$C$3,3)</f>
        <v>0.32243535994144346</v>
      </c>
      <c r="F34" s="10" t="s">
        <v>118</v>
      </c>
      <c r="G34" s="10" t="s">
        <v>97</v>
      </c>
      <c r="H34" s="10">
        <v>1.333</v>
      </c>
      <c r="I34" s="16" cm="1">
        <f t="array" ref="I34">ROOT((G33/H34)^2*$C$3,3)</f>
        <v>0.21978723401113204</v>
      </c>
    </row>
    <row r="36" spans="2:11">
      <c r="B36" s="10" t="s">
        <v>181</v>
      </c>
      <c r="C36" s="10" t="s">
        <v>182</v>
      </c>
      <c r="D36" s="6" t="s">
        <v>183</v>
      </c>
      <c r="E36" s="6" t="s">
        <v>184</v>
      </c>
      <c r="F36" s="6" t="s">
        <v>185</v>
      </c>
    </row>
    <row r="37" spans="2:11">
      <c r="B37" s="16" cm="1">
        <f t="array" ref="B37:B52">_xlfn.VSTACK(E27:E34,I27:I34)</f>
        <v>29.24017738212866</v>
      </c>
      <c r="C37" s="10" cm="1">
        <f t="array" ref="C37:C52">_xlfn.SEQUENCE(COUNTA(D37:D52))</f>
        <v>1</v>
      </c>
      <c r="D37" s="23" cm="1">
        <f t="array" ref="D37:D52">_xlfn._xlws.SORT(_xlfn.ANCHORARRAY(B37))</f>
        <v>0.14399055818524514</v>
      </c>
      <c r="E37" s="10"/>
      <c r="F37" s="10"/>
      <c r="G37" s="10"/>
      <c r="H37" s="10"/>
      <c r="I37" s="10"/>
      <c r="J37" s="10"/>
      <c r="K37" s="10"/>
    </row>
    <row r="38" spans="2:11">
      <c r="B38" s="16">
        <v>0.93812194596902154</v>
      </c>
      <c r="C38" s="10">
        <v>2</v>
      </c>
      <c r="D38" s="23">
        <v>0.14423638135191319</v>
      </c>
      <c r="E38" s="14">
        <f>AVERAGE(D37:D38)</f>
        <v>0.14411346976857917</v>
      </c>
      <c r="F38" s="10" t="b">
        <f>AND(E38&gt;$C$20,E38&lt;$C$21)</f>
        <v>0</v>
      </c>
      <c r="H38" s="10"/>
    </row>
    <row r="39" spans="2:11">
      <c r="B39" s="16">
        <v>0.66772940632191791</v>
      </c>
      <c r="C39" s="10">
        <v>3</v>
      </c>
      <c r="D39" s="23">
        <v>0.14774494838683891</v>
      </c>
      <c r="E39" s="10"/>
      <c r="F39" s="10"/>
      <c r="H39" s="10"/>
    </row>
    <row r="40" spans="2:11">
      <c r="B40" s="16">
        <v>0.48856313470170409</v>
      </c>
      <c r="C40" s="10">
        <v>4</v>
      </c>
      <c r="D40" s="23">
        <v>0.15432590402958593</v>
      </c>
      <c r="E40" s="14">
        <f>AVERAGE(D39:D40)</f>
        <v>0.15103542620821242</v>
      </c>
      <c r="F40" s="10" t="b">
        <f>AND(E40&gt;$C$20,E40&lt;$C$21)</f>
        <v>0</v>
      </c>
      <c r="H40" s="10"/>
    </row>
    <row r="41" spans="2:11">
      <c r="B41" s="16">
        <v>0.5922879951961999</v>
      </c>
      <c r="C41" s="10">
        <v>5</v>
      </c>
      <c r="D41" s="23">
        <v>0.21978723401113204</v>
      </c>
      <c r="E41" s="10"/>
      <c r="F41" s="10"/>
      <c r="H41" s="10"/>
    </row>
    <row r="42" spans="2:11">
      <c r="B42" s="16">
        <v>0.28509457364797136</v>
      </c>
      <c r="C42" s="10">
        <v>6</v>
      </c>
      <c r="D42" s="23">
        <v>0.23504964666064596</v>
      </c>
      <c r="E42" s="14">
        <f>AVERAGE(D41:D42)</f>
        <v>0.22741844033588898</v>
      </c>
      <c r="F42" s="10" t="b">
        <f>AND(E42&gt;$C$20,E42&lt;$C$21)</f>
        <v>0</v>
      </c>
      <c r="H42" s="10"/>
    </row>
    <row r="43" spans="2:11">
      <c r="B43" s="16">
        <v>0.49000167301681319</v>
      </c>
      <c r="C43" s="10">
        <v>7</v>
      </c>
      <c r="D43" s="23">
        <v>0.28509457364797136</v>
      </c>
      <c r="E43" s="10"/>
      <c r="F43" s="10"/>
      <c r="H43" s="10"/>
    </row>
    <row r="44" spans="2:11">
      <c r="B44" s="16">
        <v>0.32243535994144346</v>
      </c>
      <c r="C44" s="10">
        <v>8</v>
      </c>
      <c r="D44" s="23">
        <v>0.28537059282372779</v>
      </c>
      <c r="E44" s="14">
        <f>AVERAGE(D43:D44)</f>
        <v>0.28523258323584955</v>
      </c>
      <c r="F44" s="10" t="b">
        <f>AND(E44&gt;$C$20,E44&lt;$C$21)</f>
        <v>0</v>
      </c>
      <c r="H44" s="10"/>
    </row>
    <row r="45" spans="2:11">
      <c r="B45" s="16">
        <v>4.1039422720240717</v>
      </c>
      <c r="C45" s="10">
        <v>9</v>
      </c>
      <c r="D45" s="23">
        <v>0.32243535994144346</v>
      </c>
      <c r="E45" s="10"/>
      <c r="F45" s="10"/>
      <c r="H45" s="10"/>
    </row>
    <row r="46" spans="2:11">
      <c r="B46" s="16">
        <v>0.14774494838683891</v>
      </c>
      <c r="C46" s="10">
        <v>10</v>
      </c>
      <c r="D46" s="23">
        <v>0.48856313470170409</v>
      </c>
      <c r="E46" s="14">
        <f>AVERAGE(D45:D46)</f>
        <v>0.40549924732157377</v>
      </c>
      <c r="F46" s="10" t="b">
        <f>AND(E46&gt;$C$20,E46&lt;$C$21)</f>
        <v>0</v>
      </c>
      <c r="H46" s="10"/>
    </row>
    <row r="47" spans="2:11">
      <c r="B47" s="16">
        <v>0.15432590402958593</v>
      </c>
      <c r="C47" s="10">
        <v>11</v>
      </c>
      <c r="D47" s="23">
        <v>0.49000167301681319</v>
      </c>
      <c r="E47" s="10"/>
      <c r="F47" s="10"/>
      <c r="H47" s="10"/>
    </row>
    <row r="48" spans="2:11">
      <c r="B48" s="16">
        <v>0.14399055818524514</v>
      </c>
      <c r="C48" s="10">
        <v>12</v>
      </c>
      <c r="D48" s="23">
        <v>0.5922879951961999</v>
      </c>
      <c r="E48" s="14">
        <f>AVERAGE(D47:D48)</f>
        <v>0.5411448341065066</v>
      </c>
      <c r="F48" s="10" t="b">
        <f>AND(E48&gt;$C$20,E48&lt;$C$21)</f>
        <v>0</v>
      </c>
      <c r="H48" s="10"/>
    </row>
    <row r="49" spans="2:8">
      <c r="B49" s="16">
        <v>0.23504964666064596</v>
      </c>
      <c r="C49" s="10">
        <v>13</v>
      </c>
      <c r="D49" s="23">
        <v>0.66772940632191791</v>
      </c>
      <c r="E49" s="10"/>
      <c r="F49" s="10"/>
      <c r="H49" s="10"/>
    </row>
    <row r="50" spans="2:8">
      <c r="B50" s="16">
        <v>0.14423638135191319</v>
      </c>
      <c r="C50" s="10">
        <v>14</v>
      </c>
      <c r="D50" s="23">
        <v>0.93812194596902154</v>
      </c>
      <c r="E50" s="14">
        <f>AVERAGE(D49:D50)</f>
        <v>0.80292567614546972</v>
      </c>
      <c r="F50" s="10" t="b">
        <f>AND(E50&gt;$C$20,E50&lt;$C$21)</f>
        <v>0</v>
      </c>
      <c r="H50" s="10"/>
    </row>
    <row r="51" spans="2:8">
      <c r="B51" s="16">
        <v>0.28537059282372779</v>
      </c>
      <c r="C51" s="10">
        <v>15</v>
      </c>
      <c r="D51" s="23">
        <v>4.1039422720240717</v>
      </c>
      <c r="E51" s="10"/>
      <c r="F51" s="10"/>
      <c r="H51" s="10"/>
    </row>
    <row r="52" spans="2:8">
      <c r="B52" s="16">
        <v>0.21978723401113204</v>
      </c>
      <c r="C52" s="10">
        <v>16</v>
      </c>
      <c r="D52" s="23">
        <v>29.24017738212866</v>
      </c>
      <c r="E52" s="14">
        <f>AVERAGE(D51:D52)</f>
        <v>16.672059827076367</v>
      </c>
      <c r="F52" s="10" t="b">
        <f>AND(E52&gt;$C$20,E52&lt;$C$21)</f>
        <v>0</v>
      </c>
      <c r="H52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Stele-Rosetta system</vt:lpstr>
      <vt:lpstr>Stele</vt:lpstr>
      <vt:lpstr>Sheet1</vt:lpstr>
      <vt:lpstr>Hororology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2025-09-13T21:38:23Z</dcterms:modified>
</cp:coreProperties>
</file>