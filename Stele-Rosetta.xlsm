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F5438137-702F-9D4E-BCB4-171143F5F578}" xr6:coauthVersionLast="47" xr6:coauthVersionMax="47" xr10:uidLastSave="{00000000-0000-0000-0000-000000000000}"/>
  <bookViews>
    <workbookView xWindow="1160" yWindow="23360" windowWidth="33400" windowHeight="17660" tabRatio="833" activeTab="2" xr2:uid="{1F53B416-A8EA-154F-927D-A8DD520A3B1E}"/>
  </bookViews>
  <sheets>
    <sheet name="Stele-Rosetta system" sheetId="39" r:id="rId1"/>
    <sheet name="Stele" sheetId="41" r:id="rId2"/>
    <sheet name="Sheet1" sheetId="43" r:id="rId3"/>
    <sheet name="Hororology" sheetId="40" r:id="rId4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43" l="1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K4" i="39"/>
  <c r="K5" i="39"/>
  <c r="K6" i="39"/>
  <c r="K7" i="39"/>
  <c r="K8" i="39"/>
  <c r="K9" i="39"/>
  <c r="K10" i="39"/>
  <c r="K11" i="39"/>
  <c r="K12" i="39"/>
  <c r="K3" i="39"/>
  <c r="J4" i="39"/>
  <c r="J5" i="39"/>
  <c r="J6" i="39"/>
  <c r="J7" i="39"/>
  <c r="J8" i="39"/>
  <c r="J9" i="39"/>
  <c r="J10" i="39"/>
  <c r="J11" i="39"/>
  <c r="J12" i="39"/>
  <c r="J3" i="39"/>
  <c r="I4" i="39"/>
  <c r="I5" i="39"/>
  <c r="I6" i="39"/>
  <c r="I7" i="39"/>
  <c r="I8" i="39"/>
  <c r="I9" i="39"/>
  <c r="I10" i="39"/>
  <c r="I11" i="39"/>
  <c r="I12" i="39"/>
  <c r="I3" i="39"/>
  <c r="H3" i="39" a="1"/>
  <c r="H3" i="39" s="1"/>
  <c r="C12" i="43" l="1"/>
  <c r="C9" i="43"/>
  <c r="C10" i="43" s="1"/>
  <c r="E27" i="43" a="1"/>
  <c r="E27" i="43" s="1"/>
  <c r="E34" i="43" a="1"/>
  <c r="E34" i="43" s="1"/>
  <c r="E33" i="43" a="1"/>
  <c r="E33" i="43" s="1"/>
  <c r="E32" i="43" a="1"/>
  <c r="E32" i="43" s="1"/>
  <c r="E31" i="43" a="1"/>
  <c r="E31" i="43" s="1"/>
  <c r="E30" i="43" a="1"/>
  <c r="E30" i="43" s="1"/>
  <c r="E29" i="43" a="1"/>
  <c r="E29" i="43" s="1"/>
  <c r="I33" i="43" a="1"/>
  <c r="I33" i="43" s="1"/>
  <c r="I34" i="43" a="1"/>
  <c r="I34" i="43" s="1"/>
  <c r="I32" i="43" a="1"/>
  <c r="I32" i="43" s="1"/>
  <c r="I31" i="43" a="1"/>
  <c r="I31" i="43" s="1"/>
  <c r="I30" i="43" a="1"/>
  <c r="I30" i="43" s="1"/>
  <c r="I29" i="43" a="1"/>
  <c r="I29" i="43" s="1"/>
  <c r="I27" i="43" a="1"/>
  <c r="I27" i="43" s="1"/>
  <c r="C25" i="43"/>
  <c r="G25" i="43"/>
  <c r="C1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C76" i="41"/>
  <c r="C78" i="41" s="1"/>
  <c r="P90" i="41" s="1"/>
  <c r="Q108" i="41" s="1"/>
  <c r="P109" i="41" s="1"/>
  <c r="O109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F3" i="43" l="1" a="1"/>
  <c r="F3" i="43" s="1"/>
  <c r="H3" i="43" s="1" a="1"/>
  <c r="I10" i="43" s="1"/>
  <c r="C19" i="43"/>
  <c r="C21" i="43" s="1"/>
  <c r="E21" i="43" s="1"/>
  <c r="C18" i="43"/>
  <c r="C20" i="43" s="1"/>
  <c r="E20" i="43" s="1"/>
  <c r="R109" i="41"/>
  <c r="H78" i="41"/>
  <c r="E78" i="4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10" i="43" l="1"/>
  <c r="H3" i="43"/>
  <c r="I4" i="43" s="1"/>
  <c r="J4" i="43" s="1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G3" i="43" a="1"/>
  <c r="G3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W73" i="41" l="1"/>
  <c r="P89" i="41"/>
  <c r="Q97" i="41"/>
  <c r="P86" i="41"/>
  <c r="P87" i="41"/>
  <c r="P85" i="41"/>
  <c r="Q85" i="41" s="1"/>
  <c r="R85" i="41" s="1"/>
  <c r="S85" i="41" s="1"/>
  <c r="P88" i="41"/>
  <c r="P98" i="41"/>
  <c r="O97" i="41"/>
  <c r="R97" i="41"/>
  <c r="N60" i="41" a="1"/>
  <c r="T61" i="41"/>
  <c r="W61" i="41" s="1"/>
  <c r="Q87" i="41" l="1"/>
  <c r="R87" i="41" s="1"/>
  <c r="S87" i="41" s="1"/>
  <c r="U87" i="41" s="1"/>
  <c r="Q86" i="41"/>
  <c r="R86" i="41" s="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T89" i="41" l="1"/>
  <c r="T88" i="41"/>
  <c r="T86" i="41"/>
  <c r="T87" i="41"/>
  <c r="P103" i="41" s="1" a="1"/>
  <c r="P105" i="41" a="1"/>
  <c r="Q104" i="41"/>
  <c r="P101" i="41" a="1"/>
  <c r="Q100" i="41"/>
  <c r="R100" i="41" s="1"/>
  <c r="Q106" i="41"/>
  <c r="P107" i="41" a="1"/>
  <c r="Q98" i="41"/>
  <c r="P99" i="41" a="1"/>
  <c r="P99" i="41" s="1"/>
  <c r="O99" i="41" s="1"/>
  <c r="S61" i="41"/>
  <c r="Q102" i="41" l="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R104" i="41" l="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<sst xmlns="http://schemas.openxmlformats.org/spreadsheetml/2006/main" count="343" uniqueCount="186">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</sst>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72" formatCode="0.0000000"/>
  </numFmts>
  <fonts count="7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72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A15" zoomScale="140" zoomScaleNormal="140" workbookViewId="0">
      <selection activeCell="M60" sqref="M60:W7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60" spans="2:31">
      <c r="B60" s="8" t="s">
        <v>163</v>
      </c>
      <c r="C60" s="12">
        <v>333000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0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(C61+C62)/C60</f>
        <v>7.5075075075075072E-5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2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0.91562860029011017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0.22890715007252754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0.18312572005802205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4.5781430014505513E-2</v>
      </c>
    </row>
    <row r="77" spans="2:23">
      <c r="B77" s="8" t="s">
        <v>168</v>
      </c>
      <c r="C77" s="8">
        <f>C67-C75</f>
        <v>1.0168742799419779</v>
      </c>
      <c r="D77" s="8" t="s">
        <v>174</v>
      </c>
      <c r="E77" s="8">
        <f>C77-C63</f>
        <v>1.6874279941977877E-2</v>
      </c>
      <c r="H77" s="8">
        <f>C65-C77</f>
        <v>0.10812572005802212</v>
      </c>
    </row>
    <row r="78" spans="2:23">
      <c r="B78" s="8" t="s">
        <v>169</v>
      </c>
      <c r="C78" s="8">
        <f>C67+C76</f>
        <v>1.2457814300145054</v>
      </c>
      <c r="D78" s="8" t="s">
        <v>175</v>
      </c>
      <c r="E78" s="8">
        <f>C64-C78</f>
        <v>4.2185699854946357E-3</v>
      </c>
      <c r="H78" s="8">
        <f>C78-C65</f>
        <v>0.12078143001450536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1.0168742799419779</v>
      </c>
    </row>
    <row r="85" spans="14:22">
      <c r="O85" s="8" t="s">
        <v>127</v>
      </c>
      <c r="P85" s="12">
        <f>T65</f>
        <v>0.83827771947683394</v>
      </c>
      <c r="Q85" s="8">
        <f>P85*SQRT($O$80/333000)</f>
        <v>3.2482601833578556E-3</v>
      </c>
      <c r="R85" s="20">
        <f>Q85*SQRT($O$82/333000)</f>
        <v>3.9802806386163474E-5</v>
      </c>
      <c r="S85" s="8">
        <f>AVERAGE(Q85:R85)</f>
        <v>1.6440314948720095E-3</v>
      </c>
      <c r="T85" s="12">
        <f>P85-(S85/2)</f>
        <v>0.83745570372939793</v>
      </c>
      <c r="U85" s="12">
        <f>P85+(S85/2)</f>
        <v>0.83909973522426995</v>
      </c>
      <c r="V85" s="12"/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 t="shared" ref="R86:R89" si="16">Q86*SQRT($O$82/333000)</f>
        <v>4.7148154740179854E-5</v>
      </c>
      <c r="S86" s="8">
        <f t="shared" ref="S86:S89" si="17">AVERAGE(Q86:R86)</f>
        <v>1.9474267860896443E-3</v>
      </c>
      <c r="T86" s="12">
        <f t="shared" ref="T86:T89" si="18">P86-(S86/2)</f>
        <v>0.99200269258415252</v>
      </c>
      <c r="U86" s="12">
        <f t="shared" ref="U86:U89" si="19">P86+(S86/2)</f>
        <v>0.99395011937024225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si="16"/>
        <v>5.9864444859771546E-5</v>
      </c>
      <c r="S87" s="8">
        <f t="shared" si="17"/>
        <v>2.472665666275891E-3</v>
      </c>
      <c r="T87" s="12">
        <f t="shared" si="18"/>
        <v>1.2595549246456548</v>
      </c>
      <c r="U87" s="12">
        <f t="shared" si="19"/>
        <v>1.2620275903119307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6"/>
        <v>7.1063633840637793E-5</v>
      </c>
      <c r="S88" s="8">
        <f t="shared" si="17"/>
        <v>2.9352415767013459E-3</v>
      </c>
      <c r="T88" s="12">
        <f t="shared" si="18"/>
        <v>1.4951871712309155</v>
      </c>
      <c r="U88" s="12">
        <f t="shared" si="19"/>
        <v>1.4981224128076167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6"/>
        <v>9.3113872812824593E-5</v>
      </c>
      <c r="S89" s="8">
        <f t="shared" si="17"/>
        <v>3.8460137214597423E-3</v>
      </c>
      <c r="T89" s="12">
        <f t="shared" si="18"/>
        <v>1.9591267793253189</v>
      </c>
      <c r="U89" s="12">
        <f t="shared" si="19"/>
        <v>1.9629727930467786</v>
      </c>
    </row>
    <row r="90" spans="14:22">
      <c r="O90" s="8" t="s">
        <v>130</v>
      </c>
      <c r="P90" s="12">
        <f>C78</f>
        <v>1.2457814300145054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1.6874279941977877E-2</v>
      </c>
      <c r="P97" s="12">
        <f>O96</f>
        <v>1</v>
      </c>
      <c r="Q97" s="12">
        <f>P84</f>
        <v>1.0168742799419779</v>
      </c>
      <c r="R97" s="12">
        <f>Q97-P97</f>
        <v>1.6874279941977877E-2</v>
      </c>
    </row>
    <row r="98" spans="14:18">
      <c r="N98" s="8" t="s">
        <v>143</v>
      </c>
      <c r="O98" s="21">
        <f>AVERAGE(P98:Q98)</f>
        <v>0.9271649918356879</v>
      </c>
      <c r="P98" s="12">
        <f>Q97</f>
        <v>1.0168742799419779</v>
      </c>
      <c r="Q98" s="12">
        <f>T85</f>
        <v>0.83745570372939793</v>
      </c>
      <c r="R98" s="12">
        <f t="shared" ref="R98:R109" si="20">Q98-P98</f>
        <v>-0.17941857621257995</v>
      </c>
    </row>
    <row r="99" spans="14:18">
      <c r="N99" s="8" t="s">
        <v>145</v>
      </c>
      <c r="O99" s="21">
        <f>AVERAGE(P99:Q99)</f>
        <v>0.83827771947683394</v>
      </c>
      <c r="P99" s="12" cm="1">
        <f t="array" ref="P99:Q99">T85:U85</f>
        <v>0.83745570372939793</v>
      </c>
      <c r="Q99" s="12">
        <v>0.83909973522426995</v>
      </c>
      <c r="R99" s="12">
        <f t="shared" si="20"/>
        <v>1.6440314948720225E-3</v>
      </c>
    </row>
    <row r="100" spans="14:18">
      <c r="N100" s="8" t="s">
        <v>146</v>
      </c>
      <c r="O100" s="21">
        <f>AVERAGE(P100:Q100)</f>
        <v>0.91555121390421124</v>
      </c>
      <c r="P100" s="12">
        <f>U85</f>
        <v>0.83909973522426995</v>
      </c>
      <c r="Q100" s="12">
        <f>T86</f>
        <v>0.99200269258415252</v>
      </c>
      <c r="R100" s="12">
        <f t="shared" si="20"/>
        <v>0.15290295735988257</v>
      </c>
    </row>
    <row r="101" spans="14:18">
      <c r="N101" s="8" t="s">
        <v>147</v>
      </c>
      <c r="O101" s="21">
        <f>AVERAGE(P101:Q101)</f>
        <v>0.99297640597719738</v>
      </c>
      <c r="P101" s="12" cm="1">
        <f t="array" ref="P101:Q101">T86:U86</f>
        <v>0.99200269258415252</v>
      </c>
      <c r="Q101" s="12">
        <v>0.99395011937024225</v>
      </c>
      <c r="R101" s="12">
        <f t="shared" si="20"/>
        <v>1.9474267860897232E-3</v>
      </c>
    </row>
    <row r="102" spans="14:18">
      <c r="N102" s="8" t="s">
        <v>148</v>
      </c>
      <c r="O102" s="21">
        <f>AVERAGE(P102:Q102)</f>
        <v>1.1267525220079486</v>
      </c>
      <c r="P102" s="12">
        <f>Q101</f>
        <v>0.99395011937024225</v>
      </c>
      <c r="Q102" s="12">
        <f>T87</f>
        <v>1.2595549246456548</v>
      </c>
      <c r="R102" s="12">
        <f t="shared" si="20"/>
        <v>0.26560480527541253</v>
      </c>
    </row>
    <row r="103" spans="14:18">
      <c r="N103" s="8" t="s">
        <v>149</v>
      </c>
      <c r="O103" s="21">
        <f>AVERAGE(P103:Q103)</f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0"/>
        <v>2.4726656662759083E-3</v>
      </c>
    </row>
    <row r="104" spans="14:18">
      <c r="N104" s="8" t="s">
        <v>150</v>
      </c>
      <c r="O104" s="21">
        <f>AVERAGE(P104:Q104)</f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0"/>
        <v>0.23315958091898481</v>
      </c>
    </row>
    <row r="105" spans="14:18">
      <c r="N105" s="8" t="s">
        <v>176</v>
      </c>
      <c r="O105" s="21">
        <f>AVERAGE(P105:Q105)</f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0"/>
        <v>2.9352415767012197E-3</v>
      </c>
    </row>
    <row r="106" spans="14:18">
      <c r="N106" s="8" t="s">
        <v>177</v>
      </c>
      <c r="O106" s="21">
        <f>AVERAGE(P106:Q106)</f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0"/>
        <v>0.46100436651770216</v>
      </c>
    </row>
    <row r="107" spans="14:18">
      <c r="N107" s="8" t="s">
        <v>178</v>
      </c>
      <c r="O107" s="21">
        <f>AVERAGE(P107:Q107)</f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0"/>
        <v>3.8460137214597623E-3</v>
      </c>
    </row>
    <row r="108" spans="14:18">
      <c r="N108" s="8" t="s">
        <v>177</v>
      </c>
      <c r="O108" s="21">
        <f>AVERAGE(P108:Q108)</f>
        <v>1.604377111530642</v>
      </c>
      <c r="P108" s="12">
        <f>Q107</f>
        <v>1.9629727930467786</v>
      </c>
      <c r="Q108" s="12">
        <f>P90</f>
        <v>1.2457814300145054</v>
      </c>
      <c r="R108" s="12">
        <f t="shared" si="20"/>
        <v>-0.71719136303227327</v>
      </c>
    </row>
    <row r="109" spans="14:18">
      <c r="N109" s="8" t="s">
        <v>152</v>
      </c>
      <c r="O109" s="21">
        <f>AVERAGE(P109:Q109)</f>
        <v>2.855890715007253</v>
      </c>
      <c r="P109" s="12">
        <f>Q108</f>
        <v>1.2457814300145054</v>
      </c>
      <c r="Q109" s="12">
        <f>O110</f>
        <v>4.4660000000000002</v>
      </c>
      <c r="R109" s="12">
        <f t="shared" si="20"/>
        <v>3.2202185699854948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J34"/>
  <sheetViews>
    <sheetView tabSelected="1" zoomScale="130" zoomScaleNormal="130" workbookViewId="0">
      <selection activeCell="B2" sqref="B2:J34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6384" width="10.83203125" style="8"/>
  </cols>
  <sheetData>
    <row r="2" spans="2:10">
      <c r="B2" s="8" t="s">
        <v>163</v>
      </c>
      <c r="C2" s="14"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0">
      <c r="B3" s="8" t="s">
        <v>180</v>
      </c>
      <c r="C3" s="14">
        <v>1.181</v>
      </c>
      <c r="F3" s="14" cm="1">
        <f t="array" ref="F3:F18">_xlfn.VSTACK(E27:E34,I27:I34)</f>
        <v>13.05866321885866</v>
      </c>
      <c r="G3" s="8" cm="1">
        <f t="array" ref="G3:G18">_xlfn.SEQUENCE(COUNTA(H3:H18))</f>
        <v>1</v>
      </c>
      <c r="H3" s="21" cm="1">
        <f t="array" ref="H3:H18">_xlfn._xlws.SORT(_xlfn.ANCHORARRAY(F3))</f>
        <v>5.4092719785321108</v>
      </c>
    </row>
    <row r="4" spans="2:10">
      <c r="B4" s="8" t="s">
        <v>159</v>
      </c>
      <c r="C4" s="14">
        <v>5</v>
      </c>
      <c r="F4" s="14">
        <v>11.253614817661008</v>
      </c>
      <c r="G4" s="8">
        <v>2</v>
      </c>
      <c r="H4" s="21">
        <v>5.8521155332684671</v>
      </c>
      <c r="I4" s="12">
        <f>AVERAGE(H3:H4)</f>
        <v>5.630693755900289</v>
      </c>
      <c r="J4" s="8" t="b">
        <f>AND(I4&gt;$C$20,I4&lt;$C$21)</f>
        <v>1</v>
      </c>
    </row>
    <row r="5" spans="2:10">
      <c r="B5" s="8" t="s">
        <v>160</v>
      </c>
      <c r="C5" s="14">
        <v>12</v>
      </c>
      <c r="F5" s="14">
        <v>9.2896543537497998</v>
      </c>
      <c r="G5" s="8">
        <v>3</v>
      </c>
      <c r="H5" s="21">
        <v>6.2787875042261048</v>
      </c>
    </row>
    <row r="6" spans="2:10">
      <c r="B6" s="24" t="s">
        <v>113</v>
      </c>
      <c r="C6" s="25">
        <v>4.4660000000000002</v>
      </c>
      <c r="D6" s="25">
        <f>SQRT(C6^3/C3)</f>
        <v>8.6846661708770725</v>
      </c>
      <c r="F6" s="14">
        <v>8.2264423364639807</v>
      </c>
      <c r="G6" s="8">
        <v>4</v>
      </c>
      <c r="H6" s="21">
        <v>6.5228742461929272</v>
      </c>
      <c r="I6" s="12">
        <f>AVERAGE(H5:H6)</f>
        <v>6.4008308752095164</v>
      </c>
      <c r="J6" s="8" t="b">
        <f>AND(I6&gt;$C$20,I6&lt;$C$21)</f>
        <v>1</v>
      </c>
    </row>
    <row r="7" spans="2:10">
      <c r="B7" s="24" t="s">
        <v>119</v>
      </c>
      <c r="C7" s="25">
        <v>19.073</v>
      </c>
      <c r="D7" s="25">
        <f>SQRT(C7^3/C3)</f>
        <v>76.648483085908964</v>
      </c>
      <c r="F7" s="14">
        <v>7.0893330980899787</v>
      </c>
      <c r="G7" s="8">
        <v>5</v>
      </c>
      <c r="H7" s="21">
        <v>7.0893330980899787</v>
      </c>
    </row>
    <row r="8" spans="2:10">
      <c r="B8" s="8" t="s">
        <v>126</v>
      </c>
      <c r="C8" s="14">
        <f>AVERAGE(C6:C7)</f>
        <v>11.769500000000001</v>
      </c>
      <c r="F8" s="14">
        <v>6.2787875042261048</v>
      </c>
      <c r="G8" s="8">
        <v>6</v>
      </c>
      <c r="H8" s="21">
        <v>7.5691250660473655</v>
      </c>
      <c r="I8" s="12">
        <f>AVERAGE(H7:H8)</f>
        <v>7.3292290820686716</v>
      </c>
      <c r="J8" s="8" t="b">
        <f>AND(I8&gt;$C$20,I8&lt;$C$21)</f>
        <v>1</v>
      </c>
    </row>
    <row r="9" spans="2:10">
      <c r="B9" s="8" t="s">
        <v>158</v>
      </c>
      <c r="C9" s="14">
        <f>ABS((C7-C6))/2</f>
        <v>7.3034999999999997</v>
      </c>
      <c r="F9" s="14">
        <v>5.8521155332684671</v>
      </c>
      <c r="G9" s="8">
        <v>7</v>
      </c>
      <c r="H9" s="21">
        <v>8.2264423364639807</v>
      </c>
    </row>
    <row r="10" spans="2:10">
      <c r="B10" s="8" t="s">
        <v>161</v>
      </c>
      <c r="C10" s="14">
        <f>C8+C9*((C4-C5)/(C4+C5))</f>
        <v>8.762176470588237</v>
      </c>
      <c r="F10" s="14">
        <v>5.4092719785321108</v>
      </c>
      <c r="G10" s="8">
        <v>8</v>
      </c>
      <c r="H10" s="21">
        <v>9.1693420181577316</v>
      </c>
      <c r="I10" s="12">
        <f>AVERAGE(H9:H10)</f>
        <v>8.6978921773108553</v>
      </c>
      <c r="J10" s="8" t="b">
        <f>AND(I10&gt;$C$20,I10&lt;$C$21)</f>
        <v>1</v>
      </c>
    </row>
    <row r="11" spans="2:10">
      <c r="B11" s="8" t="s">
        <v>162</v>
      </c>
      <c r="C11" s="14">
        <f>(C4+C5)/C2</f>
        <v>5.1051051051051051E-5</v>
      </c>
      <c r="F11" s="14">
        <v>6.5228742461929272</v>
      </c>
      <c r="G11" s="8">
        <v>9</v>
      </c>
      <c r="H11" s="21">
        <v>9.2896543537497998</v>
      </c>
    </row>
    <row r="12" spans="2:10">
      <c r="B12" s="8" t="s">
        <v>164</v>
      </c>
      <c r="C12" s="14">
        <f>C7-C6</f>
        <v>14.606999999999999</v>
      </c>
      <c r="F12" s="14">
        <v>7.5691250660473655</v>
      </c>
      <c r="G12" s="8">
        <v>10</v>
      </c>
      <c r="H12" s="21">
        <v>10.354417440262928</v>
      </c>
      <c r="I12" s="12">
        <f>AVERAGE(H11:H12)</f>
        <v>9.8220358970063639</v>
      </c>
      <c r="J12" s="8" t="b">
        <f>AND(I12&gt;$C$20,I12&lt;$C$21)</f>
        <v>1</v>
      </c>
    </row>
    <row r="13" spans="2:10">
      <c r="B13" s="8" t="s">
        <v>166</v>
      </c>
      <c r="C13" s="14">
        <v>2</v>
      </c>
      <c r="F13" s="14">
        <v>9.1693420181577316</v>
      </c>
      <c r="G13" s="8">
        <v>11</v>
      </c>
      <c r="H13" s="21">
        <v>11.253614817661008</v>
      </c>
    </row>
    <row r="14" spans="2:10">
      <c r="B14" s="8" t="s">
        <v>167</v>
      </c>
      <c r="C14" s="14" cm="1">
        <f t="array" ref="C14">1-(C13*ROOT(C11,3))</f>
        <v>0.9258066652548077</v>
      </c>
      <c r="F14" s="14">
        <v>10.354417440262928</v>
      </c>
      <c r="G14" s="8">
        <v>12</v>
      </c>
      <c r="H14" s="21">
        <v>12.015237092322455</v>
      </c>
      <c r="I14" s="12">
        <f>AVERAGE(H13:H14)</f>
        <v>11.63442595499173</v>
      </c>
      <c r="J14" s="8" t="b">
        <f>AND(I14&gt;$C$20,I14&lt;$C$21)</f>
        <v>1</v>
      </c>
    </row>
    <row r="15" spans="2:10">
      <c r="B15" s="8" t="s">
        <v>165</v>
      </c>
      <c r="C15" s="14">
        <f>C12*C14</f>
        <v>13.523257959376975</v>
      </c>
      <c r="F15" s="14">
        <v>12.015237092322455</v>
      </c>
      <c r="G15" s="8">
        <v>13</v>
      </c>
      <c r="H15" s="21">
        <v>13.05866321885866</v>
      </c>
    </row>
    <row r="16" spans="2:10">
      <c r="B16" s="8" t="s">
        <v>170</v>
      </c>
      <c r="C16" s="14">
        <f>C4/(C4+C5)</f>
        <v>0.29411764705882354</v>
      </c>
      <c r="F16" s="14">
        <v>13.566316417408188</v>
      </c>
      <c r="G16" s="8">
        <v>14</v>
      </c>
      <c r="H16" s="21">
        <v>13.566316417408188</v>
      </c>
      <c r="I16" s="12">
        <f>AVERAGE(H15:H16)</f>
        <v>13.312489818133425</v>
      </c>
      <c r="J16" s="8" t="b">
        <f>AND(I16&gt;$C$20,I16&lt;$C$21)</f>
        <v>1</v>
      </c>
    </row>
    <row r="17" spans="2:10">
      <c r="B17" s="8" t="s">
        <v>171</v>
      </c>
      <c r="C17" s="14">
        <f>C5/(C4+C5)</f>
        <v>0.70588235294117652</v>
      </c>
      <c r="F17" s="14">
        <v>14.555423165479802</v>
      </c>
      <c r="G17" s="8">
        <v>15</v>
      </c>
      <c r="H17" s="21">
        <v>14.555423165479802</v>
      </c>
    </row>
    <row r="18" spans="2:10">
      <c r="B18" s="8" t="s">
        <v>172</v>
      </c>
      <c r="C18" s="14">
        <f>C15*C16</f>
        <v>3.9774288115814636</v>
      </c>
      <c r="F18" s="14">
        <v>15.74703922044513</v>
      </c>
      <c r="G18" s="8">
        <v>16</v>
      </c>
      <c r="H18" s="21">
        <v>15.74703922044513</v>
      </c>
      <c r="I18" s="12">
        <f>AVERAGE(H17:H18)</f>
        <v>15.151231192962467</v>
      </c>
      <c r="J18" s="8" t="b">
        <f>AND(I18&gt;$C$20,I18&lt;$C$21)</f>
        <v>1</v>
      </c>
    </row>
    <row r="19" spans="2:10">
      <c r="B19" s="8" t="s">
        <v>173</v>
      </c>
      <c r="C19" s="14">
        <f>C15*C17</f>
        <v>9.5458291477955122</v>
      </c>
    </row>
    <row r="20" spans="2:10">
      <c r="B20" s="8" t="s">
        <v>168</v>
      </c>
      <c r="C20" s="14">
        <f>C10-C18</f>
        <v>4.7847476590067739</v>
      </c>
      <c r="D20" s="8" t="s">
        <v>174</v>
      </c>
      <c r="E20" s="14">
        <f>C20-C6</f>
        <v>0.31874765900677371</v>
      </c>
    </row>
    <row r="21" spans="2:10">
      <c r="B21" s="8" t="s">
        <v>169</v>
      </c>
      <c r="C21" s="14">
        <f>C10+C19</f>
        <v>18.308005618383749</v>
      </c>
      <c r="D21" s="8" t="s">
        <v>175</v>
      </c>
      <c r="E21" s="14">
        <f>C7-C21</f>
        <v>0.76499438161625122</v>
      </c>
    </row>
    <row r="23" spans="2:10">
      <c r="B23" s="8" t="s">
        <v>179</v>
      </c>
      <c r="C23" s="12">
        <v>1.181</v>
      </c>
    </row>
    <row r="24" spans="2:10">
      <c r="E24" s="8" t="s">
        <v>121</v>
      </c>
      <c r="I24" s="8" t="s">
        <v>123</v>
      </c>
    </row>
    <row r="25" spans="2:10">
      <c r="B25" s="24" t="s">
        <v>113</v>
      </c>
      <c r="C25" s="25" cm="1">
        <f t="array" ref="C25:C26">TRANSPOSE(C6:D6)</f>
        <v>4.4660000000000002</v>
      </c>
      <c r="E25" s="8" t="s">
        <v>122</v>
      </c>
      <c r="F25" s="24" t="s">
        <v>119</v>
      </c>
      <c r="G25" s="25" cm="1">
        <f t="array" ref="G25:G26">TRANSPOSE(C7:D7)</f>
        <v>19.073</v>
      </c>
      <c r="I25" s="8" t="s">
        <v>122</v>
      </c>
    </row>
    <row r="26" spans="2:10">
      <c r="B26" s="24" t="s">
        <v>115</v>
      </c>
      <c r="C26" s="25">
        <v>8.6846661708770725</v>
      </c>
      <c r="D26" s="8" t="s">
        <v>114</v>
      </c>
      <c r="F26" s="24" t="s">
        <v>120</v>
      </c>
      <c r="G26" s="25">
        <v>76.648483085908964</v>
      </c>
      <c r="H26" s="8" t="s">
        <v>114</v>
      </c>
    </row>
    <row r="27" spans="2:10">
      <c r="B27" s="8" t="s">
        <v>108</v>
      </c>
      <c r="C27" s="8" t="s">
        <v>95</v>
      </c>
      <c r="D27" s="8">
        <v>5</v>
      </c>
      <c r="E27" s="14" cm="1">
        <f t="array" ref="E27">ROOT(($C$26*D27)^2*$C$3,3)</f>
        <v>13.05866321885866</v>
      </c>
      <c r="F27" s="8" t="s">
        <v>108</v>
      </c>
      <c r="G27" s="8" t="s">
        <v>95</v>
      </c>
      <c r="H27" s="8">
        <v>5</v>
      </c>
      <c r="I27" s="14" cm="1">
        <f t="array" ref="I27">ROOT(($G$26/H27)^2*$C$3,3)</f>
        <v>6.5228742461929272</v>
      </c>
    </row>
    <row r="28" spans="2:10">
      <c r="B28" s="8" t="s">
        <v>109</v>
      </c>
      <c r="C28" s="8" t="s">
        <v>94</v>
      </c>
      <c r="D28" s="8">
        <v>4</v>
      </c>
      <c r="E28" s="14" cm="1">
        <f t="array" ref="E28">ROOT(($C$26*D28)^2*$C$3,3)</f>
        <v>11.253614817661008</v>
      </c>
      <c r="F28" s="8" t="s">
        <v>109</v>
      </c>
      <c r="G28" s="8" t="s">
        <v>94</v>
      </c>
      <c r="H28" s="8">
        <v>4</v>
      </c>
      <c r="I28" s="14" cm="1">
        <f t="array" ref="I28">ROOT(($G$26/H28)^2*$C$3,3)</f>
        <v>7.5691250660473655</v>
      </c>
    </row>
    <row r="29" spans="2:10">
      <c r="B29" s="8" t="s">
        <v>110</v>
      </c>
      <c r="C29" s="8" t="s">
        <v>92</v>
      </c>
      <c r="D29" s="8">
        <v>3</v>
      </c>
      <c r="E29" s="14" cm="1">
        <f t="array" ref="E29">ROOT(($C$26*D29)^2*$C$3,3)</f>
        <v>9.2896543537497998</v>
      </c>
      <c r="F29" s="8" t="s">
        <v>110</v>
      </c>
      <c r="G29" s="8" t="s">
        <v>92</v>
      </c>
      <c r="H29" s="8">
        <v>3</v>
      </c>
      <c r="I29" s="14" cm="1">
        <f t="array" ref="I29">ROOT(($G$26/H29)^2*$C$3,3)</f>
        <v>9.1693420181577316</v>
      </c>
    </row>
    <row r="30" spans="2:10">
      <c r="B30" s="8" t="s">
        <v>111</v>
      </c>
      <c r="C30" s="8" t="s">
        <v>98</v>
      </c>
      <c r="D30" s="8">
        <v>2.5</v>
      </c>
      <c r="E30" s="14" cm="1">
        <f t="array" ref="E30">ROOT(($C$26*D30)^2*$C$3,3)</f>
        <v>8.2264423364639807</v>
      </c>
      <c r="F30" s="8" t="s">
        <v>111</v>
      </c>
      <c r="G30" s="8" t="s">
        <v>98</v>
      </c>
      <c r="H30" s="8">
        <v>2.5</v>
      </c>
      <c r="I30" s="14" cm="1">
        <f t="array" ref="I30">ROOT(($G$26/H30)^2*$C$3,3)</f>
        <v>10.354417440262928</v>
      </c>
    </row>
    <row r="31" spans="2:10">
      <c r="B31" s="8" t="s">
        <v>112</v>
      </c>
      <c r="C31" s="8" t="s">
        <v>93</v>
      </c>
      <c r="D31" s="8">
        <v>2</v>
      </c>
      <c r="E31" s="14" cm="1">
        <f t="array" ref="E31">ROOT(($C$26*D31)^2*$C$3,3)</f>
        <v>7.0893330980899787</v>
      </c>
      <c r="F31" s="8" t="s">
        <v>112</v>
      </c>
      <c r="G31" s="8" t="s">
        <v>93</v>
      </c>
      <c r="H31" s="8">
        <v>2</v>
      </c>
      <c r="I31" s="14" cm="1">
        <f t="array" ref="I31">ROOT(($G$26/H31)^2*$C$3,3)</f>
        <v>12.015237092322455</v>
      </c>
    </row>
    <row r="32" spans="2:10">
      <c r="B32" s="8" t="s">
        <v>116</v>
      </c>
      <c r="C32" s="8" t="s">
        <v>103</v>
      </c>
      <c r="D32" s="8">
        <v>1.667</v>
      </c>
      <c r="E32" s="14" cm="1">
        <f t="array" ref="E32">ROOT(($C$26*D32)^2*$C$3,3)</f>
        <v>6.2787875042261048</v>
      </c>
      <c r="F32" s="8" t="s">
        <v>116</v>
      </c>
      <c r="G32" s="8" t="s">
        <v>103</v>
      </c>
      <c r="H32" s="8">
        <v>1.667</v>
      </c>
      <c r="I32" s="14" cm="1">
        <f t="array" ref="I32">ROOT(($G$26/H32)^2*$C$3,3)</f>
        <v>13.566316417408188</v>
      </c>
    </row>
    <row r="33" spans="2:9">
      <c r="B33" s="8" t="s">
        <v>117</v>
      </c>
      <c r="C33" s="8" t="s">
        <v>96</v>
      </c>
      <c r="D33" s="8">
        <v>1.5</v>
      </c>
      <c r="E33" s="14" cm="1">
        <f t="array" ref="E33">ROOT(($C$26*D33)^2*$C$3,3)</f>
        <v>5.8521155332684671</v>
      </c>
      <c r="F33" s="8" t="s">
        <v>117</v>
      </c>
      <c r="G33" s="8" t="s">
        <v>96</v>
      </c>
      <c r="H33" s="8">
        <v>1.5</v>
      </c>
      <c r="I33" s="14" cm="1">
        <f t="array" ref="I33">ROOT(($G$26/H33)^2*$C$3,3)</f>
        <v>14.555423165479802</v>
      </c>
    </row>
    <row r="34" spans="2:9">
      <c r="B34" s="8" t="s">
        <v>118</v>
      </c>
      <c r="C34" s="8" t="s">
        <v>97</v>
      </c>
      <c r="D34" s="8">
        <v>1.333</v>
      </c>
      <c r="E34" s="14" cm="1">
        <f t="array" ref="E34">ROOT(($C$26*D34)^2*$C$3,3)</f>
        <v>5.4092719785321108</v>
      </c>
      <c r="F34" s="8" t="s">
        <v>118</v>
      </c>
      <c r="G34" s="8" t="s">
        <v>97</v>
      </c>
      <c r="H34" s="8">
        <v>1.333</v>
      </c>
      <c r="I34" s="14" cm="1">
        <f t="array" ref="I34">ROOT(($G$26/H34)^2*$C$3,3)</f>
        <v>15.74703922044513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Stele-Rosetta system</vt:lpstr>
      <vt:lpstr>Stele</vt:lpstr>
      <vt:lpstr>Sheet1</vt:lpstr>
      <vt:lpstr>Hororology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2025-09-13T21:55:19Z</dcterms:modified>
</cp:coreProperties>
</file>