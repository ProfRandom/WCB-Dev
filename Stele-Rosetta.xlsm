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tinconrad/Library/CloudStorage/Dropbox/WorldCrafting101-DEV/"/>
    </mc:Choice>
  </mc:AlternateContent>
  <xr:revisionPtr revIDLastSave="0" documentId="13_ncr:1_{6D6AE574-4AD0-C14D-A240-79F920CD02E3}" xr6:coauthVersionLast="47" xr6:coauthVersionMax="47" xr10:uidLastSave="{00000000-0000-0000-0000-000000000000}"/>
  <bookViews>
    <workbookView xWindow="2540" yWindow="2580" windowWidth="33400" windowHeight="17660" tabRatio="833" activeTab="2" xr2:uid="{1F53B416-A8EA-154F-927D-A8DD520A3B1E}"/>
  </bookViews>
  <sheets>
    <sheet name="Stele-Rosetta system" sheetId="39" r:id="rId1"/>
    <sheet name="Stele" sheetId="41" r:id="rId2"/>
    <sheet name="Sheet1" sheetId="43" r:id="rId3"/>
    <sheet name="Hororology" sheetId="40" r:id="rId4"/>
    <sheet name="Sheet1 (2)" sheetId="44" r:id="rId5"/>
  </sheets>
  <definedNames>
    <definedName name="_xlop.anchor_class" hidden="1" xlm="1">#NAME?</definedName>
    <definedName name="_xlop.anchor_count" hidden="1" xlm="1">#NAME?</definedName>
    <definedName name="_xlop.caseSensitive" hidden="1" xlm="1">#NAME?</definedName>
    <definedName name="_xlop.decimal_places" hidden="1" xlm="1">#NAME?</definedName>
    <definedName name="_xlop.decimals" hidden="1" xlm="1">#NAME?</definedName>
    <definedName name="_xlop.decprec" hidden="1" xlm="1">#NAME?</definedName>
    <definedName name="_xlop.delim2" hidden="1" xlm="1">#NAME?</definedName>
    <definedName name="_xlop.denom" hidden="1" xlm="1">#NAME?</definedName>
    <definedName name="_xlop.dice" hidden="1" xlm="1">#NAME?</definedName>
    <definedName name="_xlop.digits" hidden="1" xlm="1">#NAME?</definedName>
    <definedName name="_xlop.divisions" hidden="1" xlm="1">#NAME?</definedName>
    <definedName name="_xlop.fmt" hidden="1" xlm="1">#NAME?</definedName>
    <definedName name="_xlop.format" hidden="1" xlm="1">#NAME?</definedName>
    <definedName name="_xlop.incl" hidden="1" xlm="1">#NAME?</definedName>
    <definedName name="_xlop.includeDelims" hidden="1" xlm="1">#NAME?</definedName>
    <definedName name="_xlop.increment" hidden="1" xlm="1">#NAME?</definedName>
    <definedName name="_xlop.kind" hidden="1" xlm="1">#NAME?</definedName>
    <definedName name="_xlop.label" hidden="1" xlm="1">#NAME?</definedName>
    <definedName name="_xlop.layout" hidden="1" xlm="1">#NAME?</definedName>
    <definedName name="_xlop.lbl" hidden="1" xlm="1">#NAME?</definedName>
    <definedName name="_xlop.len" hidden="1" xlm="1">#NAME?</definedName>
    <definedName name="_xlop.lum" hidden="1" xlm="1">#NAME?</definedName>
    <definedName name="_xlop.max" hidden="1" xlm="1">#NAME?</definedName>
    <definedName name="_xlop.mode" hidden="1" xlm="1">#NAME?</definedName>
    <definedName name="_xlop.nucleal_radius" hidden="1" xlm="1">#NAME?</definedName>
    <definedName name="_xlop.null" hidden="1" xlm="1">#NAME?</definedName>
    <definedName name="_xlop.order" hidden="1" xlm="1">#NAME?</definedName>
    <definedName name="_xlop.output" hidden="1" xlm="1">#NAME?</definedName>
    <definedName name="_xlop.position" hidden="1" xlm="1">#NAME?</definedName>
    <definedName name="_xlop.prec" hidden="1" xlm="1">#NAME?</definedName>
    <definedName name="_xlop.Precision" hidden="1" xlm="1">#NAME?</definedName>
    <definedName name="_xlop.repeatMode" hidden="1" xlm="1">#NAME?</definedName>
    <definedName name="_xlop.rows" hidden="1" xlm="1">#NAME?</definedName>
    <definedName name="_xlop.second" hidden="1" xlm="1">#NAME?</definedName>
    <definedName name="_xlop.sign" hidden="1" xlm="1">#NAME?</definedName>
    <definedName name="_xlop.sort" hidden="1" xlm="1">#NAME?</definedName>
    <definedName name="_xlop.start" hidden="1" xlm="1">#NAME?</definedName>
    <definedName name="_xlop.step" hidden="1" xlm="1">#NAME?</definedName>
    <definedName name="_xlop.style" hidden="1" xlm="1">#NAME?</definedName>
    <definedName name="_xlop.Type" hidden="1" xlm="1">#NAME?</definedName>
    <definedName name="_xlop.ubound" hidden="1" xlm="1">#NAME?</definedName>
    <definedName name="_xlop.x" hidden="1" xlm="1">#NAME?</definedName>
    <definedName name="_xlpm.a" hidden="1" xlm="1">#NAME?</definedName>
    <definedName name="_xlpm.A_Stars" hidden="1" xlm="1">#NAME?</definedName>
    <definedName name="_xlpm.acc" hidden="1" xlm="1">#NAME?</definedName>
    <definedName name="_xlpm.accum" hidden="1" xlm="1">#NAME?</definedName>
    <definedName name="_xlpm.actual" hidden="1" xlm="1">#NAME?</definedName>
    <definedName name="_xlpm.adjust" hidden="1" xlm="1">#NAME?</definedName>
    <definedName name="_xlpm.all_list" hidden="1" xlm="1">#NAME?</definedName>
    <definedName name="_xlpm.anchor_class" hidden="1" xlm="1">#NAME?</definedName>
    <definedName name="_xlpm.anchor_count" hidden="1" xlm="1">#NAME?</definedName>
    <definedName name="_xlpm.anchor_freq" hidden="1" xlm="1">#NAME?</definedName>
    <definedName name="_xlpm.arr" hidden="1" xlm="1">#NAME?</definedName>
    <definedName name="_xlpm.arr_base_frac" hidden="1" xlm="1">#NAME?</definedName>
    <definedName name="_xlpm.arr_base_pct" hidden="1" xlm="1">#NAME?</definedName>
    <definedName name="_xlpm.arr_classes" hidden="1" xlm="1">#NAME?</definedName>
    <definedName name="_xlpm.array" hidden="1" xlm="1">#NAME?</definedName>
    <definedName name="_xlpm.array1" hidden="1" xlm="1">#NAME?</definedName>
    <definedName name="_xlpm.array1Cols" hidden="1" xlm="1">#NAME?</definedName>
    <definedName name="_xlpm.array1Rows" hidden="1" xlm="1">#NAME?</definedName>
    <definedName name="_xlpm.array2" hidden="1" xlm="1">#NAME?</definedName>
    <definedName name="_xlpm.array2Cols" hidden="1" xlm="1">#NAME?</definedName>
    <definedName name="_xlpm.array2Rows" hidden="1" xlm="1">#NAME?</definedName>
    <definedName name="_xlpm.arrayLen" hidden="1" xlm="1">#NAME?</definedName>
    <definedName name="_xlpm.arrSpan" hidden="1" xlm="1">#NAME?</definedName>
    <definedName name="_xlpm.arrTHigh" hidden="1" xlm="1">#NAME?</definedName>
    <definedName name="_xlpm.arrTypes" hidden="1" xlm="1">#NAME?</definedName>
    <definedName name="_xlpm.ascale" hidden="1" xlm="1">#NAME?</definedName>
    <definedName name="_xlpm.Avg" hidden="1" xlm="1">#NAME?</definedName>
    <definedName name="_xlpm.avg_factors" hidden="1" xlm="1">#NAME?</definedName>
    <definedName name="_xlpm.avg_scaled" hidden="1" xlm="1">#NAME?</definedName>
    <definedName name="_xlpm.axis" hidden="1" xlm="1">#NAME?</definedName>
    <definedName name="_xlpm.b" hidden="1" xlm="1">#NAME?</definedName>
    <definedName name="_xlpm.B_Stars" hidden="1" xlm="1">#NAME?</definedName>
    <definedName name="_xlpm.base" hidden="1" xlm="1">#NAME?</definedName>
    <definedName name="_xlpm.betweenText" hidden="1" xlm="1">#NAME?</definedName>
    <definedName name="_xlpm.BPcheck" hidden="1" xlm="1">#NAME?</definedName>
    <definedName name="_xlpm.bscale" hidden="1" xlm="1">#NAME?</definedName>
    <definedName name="_xlpm.c" hidden="1" xlm="1">#NAME?</definedName>
    <definedName name="_xlpm.calc" hidden="1" xlm="1">#NAME?</definedName>
    <definedName name="_xlpm.caseSensitive" hidden="1" xlm="1">#NAME?</definedName>
    <definedName name="_xlpm.category" hidden="1" xlm="1">#NAME?</definedName>
    <definedName name="_xlpm.cell_name" hidden="1" xlm="1">#NAME?</definedName>
    <definedName name="_xlpm.check" hidden="1" xlm="1">#NAME?</definedName>
    <definedName name="_xlpm.checkval" hidden="1" xlm="1">#NAME?</definedName>
    <definedName name="_xlpm.col_1" hidden="1" xlm="1">#NAME?</definedName>
    <definedName name="_xlpm.col_2" hidden="1" xlm="1">#NAME?</definedName>
    <definedName name="_xlpm.col_3" hidden="1" xlm="1">#NAME?</definedName>
    <definedName name="_xlpm.col_out" hidden="1" xlm="1">#NAME?</definedName>
    <definedName name="_xlpm.colcount" hidden="1" xlm="1">#NAME?</definedName>
    <definedName name="_xlpm.colIndex" hidden="1" xlm="1">#NAME?</definedName>
    <definedName name="_xlpm.collected" hidden="1" xlm="1">#NAME?</definedName>
    <definedName name="_xlpm.colLen" hidden="1" xlm="1">#NAME?</definedName>
    <definedName name="_xlpm.cols" hidden="1" xlm="1">#NAME?</definedName>
    <definedName name="_xlpm.column" hidden="1" xlm="1">#NAME?</definedName>
    <definedName name="_xlpm.combo" hidden="1" xlm="1">#NAME?</definedName>
    <definedName name="_xlpm.comfact" hidden="1" xlm="1">#NAME?</definedName>
    <definedName name="_xlpm.condition" hidden="1" xlm="1">#NAME?</definedName>
    <definedName name="_xlpm.control" hidden="1" xlm="1">#NAME?</definedName>
    <definedName name="_xlpm.control_count" hidden="1" xlm="1">#NAME?</definedName>
    <definedName name="_xlpm.conv" hidden="1" xlm="1">#NAME?</definedName>
    <definedName name="_xlpm.conv_hour" hidden="1" xlm="1">#NAME?</definedName>
    <definedName name="_xlpm.converted" hidden="1" xlm="1">#NAME?</definedName>
    <definedName name="_xlpm.count" hidden="1" xlm="1">#NAME?</definedName>
    <definedName name="_xlpm.count_list" hidden="1" xlm="1">#NAME?</definedName>
    <definedName name="_xlpm.count_val" hidden="1" xlm="1">#NAME?</definedName>
    <definedName name="_xlpm.counts" hidden="1" xlm="1">#NAME?</definedName>
    <definedName name="_xlpm.countVals" hidden="1" xlm="1">#NAME?</definedName>
    <definedName name="_xlpm.CST_AS" hidden="1" xlm="1">#NAME?</definedName>
    <definedName name="_xlpm.CST_Cen" hidden="1" xlm="1">#NAME?</definedName>
    <definedName name="_xlpm.d" hidden="1" xlm="1">#NAME?</definedName>
    <definedName name="_xlpm.Days" hidden="1" xlm="1">#NAME?</definedName>
    <definedName name="_xlpm.dec" hidden="1" xlm="1">#NAME?</definedName>
    <definedName name="_xlpm.dec_part" hidden="1" xlm="1">#NAME?</definedName>
    <definedName name="_xlpm.decimal_inch" hidden="1" xlm="1">#NAME?</definedName>
    <definedName name="_xlpm.decimal_places" hidden="1" xlm="1">#NAME?</definedName>
    <definedName name="_xlpm.DecimalDays" hidden="1" xlm="1">#NAME?</definedName>
    <definedName name="_xlpm.DecimalDegrees" hidden="1" xlm="1">#NAME?</definedName>
    <definedName name="_xlpm.DecimalHours" hidden="1" xlm="1">#NAME?</definedName>
    <definedName name="_xlpm.DecimalMinutes" hidden="1" xlm="1">#NAME?</definedName>
    <definedName name="_xlpm.decimals" hidden="1" xlm="1">#NAME?</definedName>
    <definedName name="_xlpm.DecimalSeconds" hidden="1" xlm="1">#NAME?</definedName>
    <definedName name="_xlpm.DecimalYear" hidden="1" xlm="1">#NAME?</definedName>
    <definedName name="_xlpm.decprec" hidden="1" xlm="1">#NAME?</definedName>
    <definedName name="_xlpm.Deg" hidden="1" xlm="1">#NAME?</definedName>
    <definedName name="_xlpm.degrees" hidden="1" xlm="1">#NAME?</definedName>
    <definedName name="_xlpm.delim1" hidden="1" xlm="1">#NAME?</definedName>
    <definedName name="_xlpm.delim2" hidden="1" xlm="1">#NAME?</definedName>
    <definedName name="_xlpm.delta" hidden="1" xlm="1">#NAME?</definedName>
    <definedName name="_xlpm.denom" hidden="1" xlm="1">#NAME?</definedName>
    <definedName name="_xlpm.denomfinal" hidden="1" xlm="1">#NAME?</definedName>
    <definedName name="_xlpm.diameter" hidden="1" xlm="1">#NAME?</definedName>
    <definedName name="_xlpm.dice" hidden="1" xlm="1">#NAME?</definedName>
    <definedName name="_xlpm.diff" hidden="1" xlm="1">#NAME?</definedName>
    <definedName name="_xlpm.digit" hidden="1" xlm="1">#NAME?</definedName>
    <definedName name="_xlpm.digits" hidden="1" xlm="1">#NAME?</definedName>
    <definedName name="_xlpm.digits_generated" hidden="1" xlm="1">#NAME?</definedName>
    <definedName name="_xlpm.discrim" hidden="1" xlm="1">#NAME?</definedName>
    <definedName name="_xlpm.distance" hidden="1" xlm="1">#NAME?</definedName>
    <definedName name="_xlpm.divisions" hidden="1" xlm="1">#NAME?</definedName>
    <definedName name="_xlpm.divisor" hidden="1" xlm="1">#NAME?</definedName>
    <definedName name="_xlpm.dot_pos" hidden="1" xlm="1">#NAME?</definedName>
    <definedName name="_xlpm.ecc" hidden="1" xlm="1">#NAME?</definedName>
    <definedName name="_xlpm.eccentricity" hidden="1" xlm="1">#NAME?</definedName>
    <definedName name="_xlpm.end" hidden="1" xlm="1">#NAME?</definedName>
    <definedName name="_xlpm.EndMax" hidden="1" xlm="1">#NAME?</definedName>
    <definedName name="_xlpm.EndMin" hidden="1" xlm="1">#NAME?</definedName>
    <definedName name="_xlpm.endPos" hidden="1" xlm="1">#NAME?</definedName>
    <definedName name="_xlpm.EST" hidden="1" xlm="1">#NAME?</definedName>
    <definedName name="_xlpm.even_ubound" hidden="1" xlm="1">#NAME?</definedName>
    <definedName name="_xlpm.expected" hidden="1" xlm="1">#NAME?</definedName>
    <definedName name="_xlpm.extras" hidden="1" xlm="1">#NAME?</definedName>
    <definedName name="_xlpm.F" hidden="1" xlm="1">#NAME?</definedName>
    <definedName name="_xlpm.f_len" hidden="1" xlm="1">#NAME?</definedName>
    <definedName name="_xlpm.F_Stars" hidden="1" xlm="1">#NAME?</definedName>
    <definedName name="_xlpm.f_text" hidden="1" xlm="1">#NAME?</definedName>
    <definedName name="_xlpm.feet" hidden="1" xlm="1">#NAME?</definedName>
    <definedName name="_xlpm.feet_mant" hidden="1" xlm="1">#NAME?</definedName>
    <definedName name="_xlpm.filtered" hidden="1" xlm="1">#NAME?</definedName>
    <definedName name="_xlpm.fin_list" hidden="1" xlm="1">#NAME?</definedName>
    <definedName name="_xlpm.final_result" hidden="1" xlm="1">#NAME?</definedName>
    <definedName name="_xlpm.find" hidden="1" xlm="1">#NAME?</definedName>
    <definedName name="_xlpm.FindCol" hidden="1" xlm="1">#NAME?</definedName>
    <definedName name="_xlpm.finlist" hidden="1" xlm="1">#NAME?</definedName>
    <definedName name="_xlpm.First" hidden="1" xlm="1">#NAME?</definedName>
    <definedName name="_xlpm.first_check" hidden="1" xlm="1">#NAME?</definedName>
    <definedName name="_xlpm.first_find" hidden="1" xlm="1">#NAME?</definedName>
    <definedName name="_xlpm.first_list" hidden="1" xlm="1">#NAME?</definedName>
    <definedName name="_xlpm.firstChar" hidden="1" xlm="1">#NAME?</definedName>
    <definedName name="_xlpm.flagged_labels" hidden="1" xlm="1">#NAME?</definedName>
    <definedName name="_xlpm.fmt" hidden="1" xlm="1">#NAME?</definedName>
    <definedName name="_xlpm.format" hidden="1" xlm="1">#NAME?</definedName>
    <definedName name="_xlpm.format_string" hidden="1" xlm="1">#NAME?</definedName>
    <definedName name="_xlpm.formattedData" hidden="1" xlm="1">#NAME?</definedName>
    <definedName name="_xlpm.frac_inch" hidden="1" xlm="1">#NAME?</definedName>
    <definedName name="_xlpm.FracDays" hidden="1" xlm="1">#NAME?</definedName>
    <definedName name="_xlpm.FracHours" hidden="1" xlm="1">#NAME?</definedName>
    <definedName name="_xlpm.FracMin" hidden="1" xlm="1">#NAME?</definedName>
    <definedName name="_xlpm.FracMinutes" hidden="1" xlm="1">#NAME?</definedName>
    <definedName name="_xlpm.FracPortion" hidden="1" xlm="1">#NAME?</definedName>
    <definedName name="_xlpm.fraction" hidden="1" xlm="1">#NAME?</definedName>
    <definedName name="_xlpm.fractional_seconds" hidden="1" xlm="1">#NAME?</definedName>
    <definedName name="_xlpm.FracYear" hidden="1" xlm="1">#NAME?</definedName>
    <definedName name="_xlpm.FracYears" hidden="1" xlm="1">#NAME?</definedName>
    <definedName name="_xlpm.full_type" hidden="1" xlm="1">#NAME?</definedName>
    <definedName name="_xlpm.fullTable" hidden="1" xlm="1">#NAME?</definedName>
    <definedName name="_xlpm.g" hidden="1" xlm="1">#NAME?</definedName>
    <definedName name="_xlpm.G_Stars" hidden="1" xlm="1">#NAME?</definedName>
    <definedName name="_xlpm.gcd" hidden="1" xlm="1">#NAME?</definedName>
    <definedName name="_xlpm.generated_digits" hidden="1" xlm="1">#NAME?</definedName>
    <definedName name="_xlpm.generated_number" hidden="1" xlm="1">#NAME?</definedName>
    <definedName name="_xlpm.get_codes" hidden="1" xlm="1">#NAME?</definedName>
    <definedName name="_xlpm.GMT" hidden="1" xlm="1">#NAME?</definedName>
    <definedName name="_xlpm.grade" hidden="1" xlm="1">#NAME?</definedName>
    <definedName name="_xlpm.h_part" hidden="1" xlm="1">#NAME?</definedName>
    <definedName name="_xlpm.h_part_l" hidden="1" xlm="1">#NAME?</definedName>
    <definedName name="_xlpm.h_part_r" hidden="1" xlm="1">#NAME?</definedName>
    <definedName name="_xlpm.habitability_index" hidden="1" xlm="1">#NAME?</definedName>
    <definedName name="_xlpm.HasMiddle" hidden="1" xlm="1">#NAME?</definedName>
    <definedName name="_xlpm.headers" hidden="1" xlm="1">#NAME?</definedName>
    <definedName name="_xlpm.horizontal_values" hidden="1" xlm="1">#NAME?</definedName>
    <definedName name="_xlpm.hour" hidden="1" xlm="1">#NAME?</definedName>
    <definedName name="_xlpm.Hours" hidden="1" xlm="1">#NAME?</definedName>
    <definedName name="_xlpm.hrs" hidden="1" xlm="1">#NAME?</definedName>
    <definedName name="_xlpm.hrs_l" hidden="1" xlm="1">#NAME?</definedName>
    <definedName name="_xlpm.hrs_r" hidden="1" xlm="1">#NAME?</definedName>
    <definedName name="_xlpm.i" hidden="1" xlm="1">#NAME?</definedName>
    <definedName name="_xlpm.idx" hidden="1" xlm="1">#NAME?</definedName>
    <definedName name="_xlpm.in" hidden="1" xlm="1">#NAME?</definedName>
    <definedName name="_xlpm.inch" hidden="1" xlm="1">#NAME?</definedName>
    <definedName name="_xlpm.inch_dec" hidden="1" xlm="1">#NAME?</definedName>
    <definedName name="_xlpm.inch_int" hidden="1" xlm="1">#NAME?</definedName>
    <definedName name="_xlpm.inch_mant" hidden="1" xlm="1">#NAME?</definedName>
    <definedName name="_xlpm.inch_numer" hidden="1" xlm="1">#NAME?</definedName>
    <definedName name="_xlpm.incl" hidden="1" xlm="1">#NAME?</definedName>
    <definedName name="_xlpm.includeDelims" hidden="1" xlm="1">#NAME?</definedName>
    <definedName name="_xlpm.increment" hidden="1" xlm="1">#NAME?</definedName>
    <definedName name="_xlpm.indices" hidden="1" xlm="1">#NAME?</definedName>
    <definedName name="_xlpm.inner_factors" hidden="1" xlm="1">#NAME?</definedName>
    <definedName name="_xlpm.inner_scaled" hidden="1" xlm="1">#NAME?</definedName>
    <definedName name="_xlpm.input" hidden="1" xlm="1">#NAME?</definedName>
    <definedName name="_xlpm.inputTime" hidden="1" xlm="1">#NAME?</definedName>
    <definedName name="_xlpm.int_inch" hidden="1" xlm="1">#NAME?</definedName>
    <definedName name="_xlpm.int_part" hidden="1" xlm="1">#NAME?</definedName>
    <definedName name="_xlpm.interval" hidden="1" xlm="1">#NAME?</definedName>
    <definedName name="_xlpm.IntMin" hidden="1" xlm="1">#NAME?</definedName>
    <definedName name="_xlpm.is_inner_orbit" hidden="1" xlm="1">#NAME?</definedName>
    <definedName name="_xlpm.isValid" hidden="1" xlm="1">#NAME?</definedName>
    <definedName name="_xlpm.j" hidden="1" xlm="1">#NAME?</definedName>
    <definedName name="_xlpm.K" hidden="1" xlm="1">#NAME?</definedName>
    <definedName name="_xlpm.K_Stars" hidden="1" xlm="1">#NAME?</definedName>
    <definedName name="_xlpm.kind" hidden="1" xlm="1">#NAME?</definedName>
    <definedName name="_xlpm.KST" hidden="1" xlm="1">#NAME?</definedName>
    <definedName name="_xlpm.kurt" hidden="1" xlm="1">#NAME?</definedName>
    <definedName name="_xlpm.L" hidden="1" xlm="1">#NAME?</definedName>
    <definedName name="_xlpm.label" hidden="1" xlm="1">#NAME?</definedName>
    <definedName name="_xlpm.label_list" hidden="1" xlm="1">#NAME?</definedName>
    <definedName name="_xlpm.labels" hidden="1" xlm="1">#NAME?</definedName>
    <definedName name="_xlpm.large" hidden="1" xlm="1">#NAME?</definedName>
    <definedName name="_xlpm.Last" hidden="1" xlm="1">#NAME?</definedName>
    <definedName name="_xlpm.last_check" hidden="1" xlm="1">#NAME?</definedName>
    <definedName name="_xlpm.last_list" hidden="1" xlm="1">#NAME?</definedName>
    <definedName name="_xlpm.last_name" hidden="1" xlm="1">#NAME?</definedName>
    <definedName name="_xlpm.layout" hidden="1" xlm="1">#NAME?</definedName>
    <definedName name="_xlpm.lbl" hidden="1" xlm="1">#NAME?</definedName>
    <definedName name="_xlpm.lbl_array" hidden="1" xlm="1">#NAME?</definedName>
    <definedName name="_xlpm.lbl_val" hidden="1" xlm="1">#NAME?</definedName>
    <definedName name="_xlpm.lbound" hidden="1" xlm="1">#NAME?</definedName>
    <definedName name="_xlpm.Least" hidden="1" xlm="1">#NAME?</definedName>
    <definedName name="_xlpm.Least_index" hidden="1" xlm="1">#NAME?</definedName>
    <definedName name="_xlpm.left" hidden="1" xlm="1">#NAME?</definedName>
    <definedName name="_xlpm.len" hidden="1" xlm="1">#NAME?</definedName>
    <definedName name="_xlpm.len_match" hidden="1" xlm="1">#NAME?</definedName>
    <definedName name="_xlpm.length" hidden="1" xlm="1">#NAME?</definedName>
    <definedName name="_xlpm.letter" hidden="1" xlm="1">#NAME?</definedName>
    <definedName name="_xlpm.letters" hidden="1" xlm="1">#NAME?</definedName>
    <definedName name="_xlpm.list" hidden="1" xlm="1">#NAME?</definedName>
    <definedName name="_xlpm.list1" hidden="1" xlm="1">#NAME?</definedName>
    <definedName name="_xlpm.list2" hidden="1" xlm="1">#NAME?</definedName>
    <definedName name="_xlpm.listlen" hidden="1" xlm="1">#NAME?</definedName>
    <definedName name="_xlpm.loc" hidden="1" xlm="1">#NAME?</definedName>
    <definedName name="_xlpm.LookupArray" hidden="1" xlm="1">#NAME?</definedName>
    <definedName name="_xlpm.lower" hidden="1" xlm="1">#NAME?</definedName>
    <definedName name="_xlpm.lower_mid" hidden="1" xlm="1">#NAME?</definedName>
    <definedName name="_xlpm.lum" hidden="1" xlm="1">#NAME?</definedName>
    <definedName name="_xlpm.M" hidden="1" xlm="1">#NAME?</definedName>
    <definedName name="_xlpm.m_2" hidden="1" xlm="1">#NAME?</definedName>
    <definedName name="_xlpm.m_part" hidden="1" xlm="1">#NAME?</definedName>
    <definedName name="_xlpm.m_part_l" hidden="1" xlm="1">#NAME?</definedName>
    <definedName name="_xlpm.m_part_r" hidden="1" xlm="1">#NAME?</definedName>
    <definedName name="_xlpm.M_Stars" hidden="1" xlm="1">#NAME?</definedName>
    <definedName name="_xlpm.mag" hidden="1" xlm="1">#NAME?</definedName>
    <definedName name="_xlpm.major" hidden="1" xlm="1">#NAME?</definedName>
    <definedName name="_xlpm.make_num" hidden="1" xlm="1">#NAME?</definedName>
    <definedName name="_xlpm.mant" hidden="1" xlm="1">#NAME?</definedName>
    <definedName name="_xlpm.mass1" hidden="1" xlm="1">#NAME?</definedName>
    <definedName name="_xlpm.mass2" hidden="1" xlm="1">#NAME?</definedName>
    <definedName name="_xlpm.max" hidden="1" xlm="1">#NAME?</definedName>
    <definedName name="_xlpm.max_out" hidden="1" xlm="1">#NAME?</definedName>
    <definedName name="_xlpm.max_val" hidden="1" xlm="1">#NAME?</definedName>
    <definedName name="_xlpm.mean_val" hidden="1" xlm="1">#NAME?</definedName>
    <definedName name="_xlpm.med" hidden="1" xlm="1">#NAME?</definedName>
    <definedName name="_xlpm.med_val" hidden="1" xlm="1">#NAME?</definedName>
    <definedName name="_xlpm.Middle" hidden="1" xlm="1">#NAME?</definedName>
    <definedName name="_xlpm.midrange" hidden="1" xlm="1">#NAME?</definedName>
    <definedName name="_xlpm.mil_hour" hidden="1" xlm="1">#NAME?</definedName>
    <definedName name="_xlpm.min" hidden="1" xlm="1">#NAME?</definedName>
    <definedName name="_xlpm.min_out" hidden="1" xlm="1">#NAME?</definedName>
    <definedName name="_xlpm.Min_part" hidden="1" xlm="1">#NAME?</definedName>
    <definedName name="_xlpm.min_val" hidden="1" xlm="1">#NAME?</definedName>
    <definedName name="_xlpm.minima" hidden="1" xlm="1">#NAME?</definedName>
    <definedName name="_xlpm.minor" hidden="1" xlm="1">#NAME?</definedName>
    <definedName name="_xlpm.minute" hidden="1" xlm="1">#NAME?</definedName>
    <definedName name="_xlpm.Minutes" hidden="1" xlm="1">#NAME?</definedName>
    <definedName name="_xlpm.mns" hidden="1" xlm="1">#NAME?</definedName>
    <definedName name="_xlpm.mns_l" hidden="1" xlm="1">#NAME?</definedName>
    <definedName name="_xlpm.mns_r" hidden="1" xlm="1">#NAME?</definedName>
    <definedName name="_xlpm.mode" hidden="1" xlm="1">#NAME?</definedName>
    <definedName name="_xlpm.Most" hidden="1" xlm="1">#NAME?</definedName>
    <definedName name="_xlpm.Most_index" hidden="1" xlm="1">#NAME?</definedName>
    <definedName name="_xlpm.mtxStars" hidden="1" xlm="1">#NAME?</definedName>
    <definedName name="_xlpm.n" hidden="1" xlm="1">#NAME?</definedName>
    <definedName name="_xlpm.name" hidden="1" xlm="1">#NAME?</definedName>
    <definedName name="_xlpm.new" hidden="1" xlm="1">#NAME?</definedName>
    <definedName name="_xlpm.new_string" hidden="1" xlm="1">#NAME?</definedName>
    <definedName name="_xlpm.newArray" hidden="1" xlm="1">#NAME?</definedName>
    <definedName name="_xlpm.no_space" hidden="1" xlm="1">#NAME?</definedName>
    <definedName name="_xlpm.norm_mode" hidden="1" xlm="1">#NAME?</definedName>
    <definedName name="_xlpm.nuc" hidden="1" xlm="1">#NAME?</definedName>
    <definedName name="_xlpm.nucleal" hidden="1" xlm="1">#NAME?</definedName>
    <definedName name="_xlpm.nucleal_radius" hidden="1" xlm="1">#NAME?</definedName>
    <definedName name="_xlpm.null" hidden="1" xlm="1">#NAME?</definedName>
    <definedName name="_xlpm.num" hidden="1" xlm="1">#NAME?</definedName>
    <definedName name="_xlpm.numbers" hidden="1" xlm="1">#NAME?</definedName>
    <definedName name="_xlpm.numer" hidden="1" xlm="1">#NAME?</definedName>
    <definedName name="_xlpm.numerfinal" hidden="1" xlm="1">#NAME?</definedName>
    <definedName name="_xlpm.numfinal" hidden="1" xlm="1">#NAME?</definedName>
    <definedName name="_xlpm.numlist" hidden="1" xlm="1">#NAME?</definedName>
    <definedName name="_xlpm.nums" hidden="1" xlm="1">#NAME?</definedName>
    <definedName name="_xlpm.O_Stars" hidden="1" xlm="1">#NAME?</definedName>
    <definedName name="_xlpm.odd_ubound" hidden="1" xlm="1">#NAME?</definedName>
    <definedName name="_xlpm.old" hidden="1" xlm="1">#NAME?</definedName>
    <definedName name="_xlpm.one" hidden="1" xlm="1">#NAME?</definedName>
    <definedName name="_xlpm.orbital_dist" hidden="1" xlm="1">#NAME?</definedName>
    <definedName name="_xlpm.order" hidden="1" xlm="1">#NAME?</definedName>
    <definedName name="_xlpm.outer_factors" hidden="1" xlm="1">#NAME?</definedName>
    <definedName name="_xlpm.outer_scaled" hidden="1" xlm="1">#NAME?</definedName>
    <definedName name="_xlpm.outlist1" hidden="1" xlm="1">#NAME?</definedName>
    <definedName name="_xlpm.outlist2" hidden="1" xlm="1">#NAME?</definedName>
    <definedName name="_xlpm.output" hidden="1" xlm="1">#NAME?</definedName>
    <definedName name="_xlpm.output_values" hidden="1" xlm="1">#NAME?</definedName>
    <definedName name="_xlpm.outputs" hidden="1" xlm="1">#NAME?</definedName>
    <definedName name="_xlpm.p" hidden="1" xlm="1">#NAME?</definedName>
    <definedName name="_xlpm.P_calc" hidden="1" xlm="1">#NAME?</definedName>
    <definedName name="_xlpm.P_in" hidden="1" xlm="1">#NAME?</definedName>
    <definedName name="_xlpm.P_val" hidden="1" xlm="1">#NAME?</definedName>
    <definedName name="_xlpm.param_1" hidden="1" xlm="1">#NAME?</definedName>
    <definedName name="_xlpm.param_2" hidden="1" xlm="1">#NAME?</definedName>
    <definedName name="_xlpm.pattern" hidden="1" xlm="1">#NAME?</definedName>
    <definedName name="_xlpm.pct" hidden="1" xlm="1">#NAME?</definedName>
    <definedName name="_xlpm.pct_labels" hidden="1" xlm="1">#NAME?</definedName>
    <definedName name="_xlpm.pct_vals" hidden="1" xlm="1">#NAME?</definedName>
    <definedName name="_xlpm.pctiles" hidden="1" xlm="1">#NAME?</definedName>
    <definedName name="_xlpm.period" hidden="1" xlm="1">#NAME?</definedName>
    <definedName name="_xlpm.phi" hidden="1" xlm="1">#NAME?</definedName>
    <definedName name="_xlpm.phi_out" hidden="1" xlm="1">#NAME?</definedName>
    <definedName name="_xlpm.phi_rad" hidden="1" xlm="1">#NAME?</definedName>
    <definedName name="_xlpm.position" hidden="1" xlm="1">#NAME?</definedName>
    <definedName name="_xlpm.power" hidden="1" xlm="1">#NAME?</definedName>
    <definedName name="_xlpm.prec" hidden="1" xlm="1">#NAME?</definedName>
    <definedName name="_xlpm.Precision" hidden="1" xlm="1">#NAME?</definedName>
    <definedName name="_xlpm.prob" hidden="1" xlm="1">#NAME?</definedName>
    <definedName name="_xlpm.prob_index" hidden="1" xlm="1">#NAME?</definedName>
    <definedName name="_xlpm.problist" hidden="1" xlm="1">#NAME?</definedName>
    <definedName name="_xlpm.probs" hidden="1" xlm="1">#NAME?</definedName>
    <definedName name="_xlpm.prod" hidden="1" xlm="1">#NAME?</definedName>
    <definedName name="_xlpm.products" hidden="1" xlm="1">#NAME?</definedName>
    <definedName name="_xlpm.products_col" hidden="1" xlm="1">#NAME?</definedName>
    <definedName name="_xlpm.PST" hidden="1" xlm="1">#NAME?</definedName>
    <definedName name="_xlpm.punct" hidden="1" xlm="1">#NAME?</definedName>
    <definedName name="_xlpm.q" hidden="1" xlm="1">#NAME?</definedName>
    <definedName name="_xlpm.Q_calc" hidden="1" xlm="1">#NAME?</definedName>
    <definedName name="_xlpm.Q_in" hidden="1" xlm="1">#NAME?</definedName>
    <definedName name="_xlpm.Q_val" hidden="1" xlm="1">#NAME?</definedName>
    <definedName name="_xlpm.r" hidden="1" xlm="1">#NAME?</definedName>
    <definedName name="_xlpm.r_out" hidden="1" xlm="1">#NAME?</definedName>
    <definedName name="_xlpm.radius" hidden="1" xlm="1">#NAME?</definedName>
    <definedName name="_xlpm.rand_list" hidden="1" xlm="1">#NAME?</definedName>
    <definedName name="_xlpm.rand_nums" hidden="1" xlm="1">#NAME?</definedName>
    <definedName name="_xlpm.randIndex" hidden="1" xlm="1">#NAME?</definedName>
    <definedName name="_xlpm.random_numbers" hidden="1" xlm="1">#NAME?</definedName>
    <definedName name="_xlpm.range" hidden="1" xlm="1">#NAME?</definedName>
    <definedName name="_xlpm.raw" hidden="1" xlm="1">#NAME?</definedName>
    <definedName name="_xlpm.raw_mode" hidden="1" xlm="1">#NAME?</definedName>
    <definedName name="_xlpm.raw_vals" hidden="1" xlm="1">#NAME?</definedName>
    <definedName name="_xlpm.recpt" hidden="1" xlm="1">#NAME?</definedName>
    <definedName name="_xlpm.Remainder" hidden="1" xlm="1">#NAME?</definedName>
    <definedName name="_xlpm.RemainingSecondsAfterDays" hidden="1" xlm="1">#NAME?</definedName>
    <definedName name="_xlpm.RemainingSecondsAfterHours" hidden="1" xlm="1">#NAME?</definedName>
    <definedName name="_xlpm.RemainingSecondsAfterYears" hidden="1" xlm="1">#NAME?</definedName>
    <definedName name="_xlpm.RemDays" hidden="1" xlm="1">#NAME?</definedName>
    <definedName name="_xlpm.repeat" hidden="1" xlm="1">#NAME?</definedName>
    <definedName name="_xlpm.repeatMode" hidden="1" xlm="1">#NAME?</definedName>
    <definedName name="_xlpm.rept" hidden="1" xlm="1">#NAME?</definedName>
    <definedName name="_xlpm.result" hidden="1" xlm="1">#NAME?</definedName>
    <definedName name="_xlpm.result_lbl" hidden="1" xlm="1">#NAME?</definedName>
    <definedName name="_xlpm.result_raw" hidden="1" xlm="1">#NAME?</definedName>
    <definedName name="_xlpm.resultArray" hidden="1" xlm="1">#NAME?</definedName>
    <definedName name="_xlpm.return" hidden="1" xlm="1">#NAME?</definedName>
    <definedName name="_xlpm.ReturnArray" hidden="1" xlm="1">#NAME?</definedName>
    <definedName name="_xlpm.reversed" hidden="1" xlm="1">#NAME?</definedName>
    <definedName name="_xlpm.right" hidden="1" xlm="1">#NAME?</definedName>
    <definedName name="_xlpm.rng" hidden="1" xlm="1">#NAME?</definedName>
    <definedName name="_xlpm.root" hidden="1" xlm="1">#NAME?</definedName>
    <definedName name="_xlpm.rounded_vals" hidden="1" xlm="1">#NAME?</definedName>
    <definedName name="_xlpm.rounding_precision" hidden="1" xlm="1">#NAME?</definedName>
    <definedName name="_xlpm.row" hidden="1" xlm="1">#NAME?</definedName>
    <definedName name="_xlpm.row_1" hidden="1" xlm="1">#NAME?</definedName>
    <definedName name="_xlpm.row_2" hidden="1" xlm="1">#NAME?</definedName>
    <definedName name="_xlpm.row_3" hidden="1" xlm="1">#NAME?</definedName>
    <definedName name="_xlpm.row_4" hidden="1" xlm="1">#NAME?</definedName>
    <definedName name="_xlpm.row_5" hidden="1" xlm="1">#NAME?</definedName>
    <definedName name="_xlpm.row_out" hidden="1" xlm="1">#NAME?</definedName>
    <definedName name="_xlpm.rowIndex" hidden="1" xlm="1">#NAME?</definedName>
    <definedName name="_xlpm.rowIndex1" hidden="1" xlm="1">#NAME?</definedName>
    <definedName name="_xlpm.rowIndex2" hidden="1" xlm="1">#NAME?</definedName>
    <definedName name="_xlpm.rowLen" hidden="1" xlm="1">#NAME?</definedName>
    <definedName name="_xlpm.rows" hidden="1" xlm="1">#NAME?</definedName>
    <definedName name="_xlpm.s" hidden="1" xlm="1">#NAME?</definedName>
    <definedName name="_xlpm.S_calc" hidden="1" xlm="1">#NAME?</definedName>
    <definedName name="_xlpm.S_in" hidden="1" xlm="1">#NAME?</definedName>
    <definedName name="_xlpm.S_val" hidden="1" xlm="1">#NAME?</definedName>
    <definedName name="_xlpm.scale" hidden="1" xlm="1">#NAME?</definedName>
    <definedName name="_xlpm.scaled" hidden="1" xlm="1">#NAME?</definedName>
    <definedName name="_xlpm.scaled_values" hidden="1" xlm="1">#NAME?</definedName>
    <definedName name="_xlpm.scaledLCM" hidden="1" xlm="1">#NAME?</definedName>
    <definedName name="_xlpm.scaling_factor" hidden="1" xlm="1">#NAME?</definedName>
    <definedName name="_xlpm.sec" hidden="1" xlm="1">#NAME?</definedName>
    <definedName name="_xlpm.sec_part" hidden="1" xlm="1">#NAME?</definedName>
    <definedName name="_xlpm.second" hidden="1" xlm="1">#NAME?</definedName>
    <definedName name="_xlpm.second_find" hidden="1" xlm="1">#NAME?</definedName>
    <definedName name="_xlpm.Seconds" hidden="1" xlm="1">#NAME?</definedName>
    <definedName name="_xlpm.seed" hidden="1" xlm="1">#NAME?</definedName>
    <definedName name="_xlpm.select" hidden="1" xlm="1">#NAME?</definedName>
    <definedName name="_xlpm.selected_labels" hidden="1" xlm="1">#NAME?</definedName>
    <definedName name="_xlpm.selected_vals" hidden="1" xlm="1">#NAME?</definedName>
    <definedName name="_xlpm.separator" hidden="1" xlm="1">#NAME?</definedName>
    <definedName name="_xlpm.sequence" hidden="1" xlm="1">#NAME?</definedName>
    <definedName name="_xlpm.serial" hidden="1" xlm="1">#NAME?</definedName>
    <definedName name="_xlpm.sign" hidden="1" xlm="1">#NAME?</definedName>
    <definedName name="_xlpm.skew" hidden="1" xlm="1">#NAME?</definedName>
    <definedName name="_xlpm.slimTable" hidden="1" xlm="1">#NAME?</definedName>
    <definedName name="_xlpm.small" hidden="1" xlm="1">#NAME?</definedName>
    <definedName name="_xlpm.smry_labels" hidden="1" xlm="1">#NAME?</definedName>
    <definedName name="_xlpm.smry_vals" hidden="1" xlm="1">#NAME?</definedName>
    <definedName name="_xlpm.sort" hidden="1" xlm="1">#NAME?</definedName>
    <definedName name="_xlpm.sorted" hidden="1" xlm="1">#NAME?</definedName>
    <definedName name="_xlpm.span" hidden="1" xlm="1">#NAME?</definedName>
    <definedName name="_xlpm.span_factors" hidden="1" xlm="1">#NAME?</definedName>
    <definedName name="_xlpm.span_labels" hidden="1" xlm="1">#NAME?</definedName>
    <definedName name="_xlpm.span_scaled" hidden="1" xlm="1">#NAME?</definedName>
    <definedName name="_xlpm.span_vals" hidden="1" xlm="1">#NAME?</definedName>
    <definedName name="_xlpm.spans" hidden="1" xlm="1">#NAME?</definedName>
    <definedName name="_xlpm.standard" hidden="1" xlm="1">#NAME?</definedName>
    <definedName name="_xlpm.stars" hidden="1" xlm="1">#NAME?</definedName>
    <definedName name="_xlpm.start" hidden="1" xlm="1">#NAME?</definedName>
    <definedName name="_xlpm.StartMax" hidden="1" xlm="1">#NAME?</definedName>
    <definedName name="_xlpm.StartMin" hidden="1" xlm="1">#NAME?</definedName>
    <definedName name="_xlpm.startPos" hidden="1" xlm="1">#NAME?</definedName>
    <definedName name="_xlpm.stats" hidden="1" xlm="1">#NAME?</definedName>
    <definedName name="_xlpm.stderr" hidden="1" xlm="1">#NAME?</definedName>
    <definedName name="_xlpm.step" hidden="1" xlm="1">#NAME?</definedName>
    <definedName name="_xlpm.stp" hidden="1" xlm="1">#NAME?</definedName>
    <definedName name="_xlpm.string" hidden="1" xlm="1">#NAME?</definedName>
    <definedName name="_xlpm.stringLength" hidden="1" xlm="1">#NAME?</definedName>
    <definedName name="_xlpm.strip" hidden="1" xlm="1">#NAME?</definedName>
    <definedName name="_xlpm.stripped" hidden="1" xlm="1">#NAME?</definedName>
    <definedName name="_xlpm.style" hidden="1" xlm="1">#NAME?</definedName>
    <definedName name="_xlpm.styled" hidden="1" xlm="1">#NAME?</definedName>
    <definedName name="_xlpm.sub" hidden="1" xlm="1">#NAME?</definedName>
    <definedName name="_xlpm.subclass" hidden="1" xlm="1">#NAME?</definedName>
    <definedName name="_xlpm.substring" hidden="1" xlm="1">#NAME?</definedName>
    <definedName name="_xlpm.subword" hidden="1" xlm="1">#NAME?</definedName>
    <definedName name="_xlpm.suff" hidden="1" xlm="1">#NAME?</definedName>
    <definedName name="_xlpm.suff_l" hidden="1" xlm="1">#NAME?</definedName>
    <definedName name="_xlpm.suff_r" hidden="1" xlm="1">#NAME?</definedName>
    <definedName name="_xlpm.SuffCheck" hidden="1" xlm="1">#NAME?</definedName>
    <definedName name="_xlpm.suffix" hidden="1" xlm="1">#NAME?</definedName>
    <definedName name="_xlpm.sum_val" hidden="1" xlm="1">#NAME?</definedName>
    <definedName name="_xlpm.sum_vals" hidden="1" xlm="1">#NAME?</definedName>
    <definedName name="_xlpm.T_high" hidden="1" xlm="1">#NAME?</definedName>
    <definedName name="_xlpm.t_out" hidden="1" xlm="1">#NAME?</definedName>
    <definedName name="_xlpm.t_out_fin" hidden="1" xlm="1">#NAME?</definedName>
    <definedName name="_xlpm.Target" hidden="1" xlm="1">#NAME?</definedName>
    <definedName name="_xlpm.temp" hidden="1" xlm="1">#NAME?</definedName>
    <definedName name="_xlpm.temp_in_range" hidden="1" xlm="1">#NAME?</definedName>
    <definedName name="_xlpm.temps" hidden="1" xlm="1">#NAME?</definedName>
    <definedName name="_xlpm.TempTot" hidden="1" xlm="1">#NAME?</definedName>
    <definedName name="_xlpm.test" hidden="1" xlm="1">#NAME?</definedName>
    <definedName name="_xlpm.test_count" hidden="1" xlm="1">#NAME?</definedName>
    <definedName name="_xlpm.test00" hidden="1" xlm="1">#NAME?</definedName>
    <definedName name="_xlpm.test01" hidden="1" xlm="1">#NAME?</definedName>
    <definedName name="_xlpm.test02" hidden="1" xlm="1">#NAME?</definedName>
    <definedName name="_xlpm.test03" hidden="1" xlm="1">#NAME?</definedName>
    <definedName name="_xlpm.test04" hidden="1" xlm="1">#NAME?</definedName>
    <definedName name="_xlpm.TestArray" hidden="1" xlm="1">#NAME?</definedName>
    <definedName name="_xlpm.text" hidden="1" xlm="1">#NAME?</definedName>
    <definedName name="_xlpm.text_val" hidden="1" xlm="1">#NAME?</definedName>
    <definedName name="_xlpm.TextLengthNoSpaces" hidden="1" xlm="1">#NAME?</definedName>
    <definedName name="_xlpm.theta" hidden="1" xlm="1">#NAME?</definedName>
    <definedName name="_xlpm.theta_out" hidden="1" xlm="1">#NAME?</definedName>
    <definedName name="_xlpm.theta_rad" hidden="1" xlm="1">#NAME?</definedName>
    <definedName name="_xlpm.three" hidden="1" xlm="1">#NAME?</definedName>
    <definedName name="_xlpm.time_l" hidden="1" xlm="1">#NAME?</definedName>
    <definedName name="_xlpm.time_r" hidden="1" xlm="1">#NAME?</definedName>
    <definedName name="_xlpm.timeDifference" hidden="1" xlm="1">#NAME?</definedName>
    <definedName name="_xlpm.timezone" hidden="1" xlm="1">#NAME?</definedName>
    <definedName name="_xlpm.timezone1" hidden="1" xlm="1">#NAME?</definedName>
    <definedName name="_xlpm.timezone2" hidden="1" xlm="1">#NAME?</definedName>
    <definedName name="_xlpm.Tnorm" hidden="1" xlm="1">#NAME?</definedName>
    <definedName name="_xlpm.total" hidden="1" xlm="1">#NAME?</definedName>
    <definedName name="_xlpm.total_wt" hidden="1" xlm="1">#NAME?</definedName>
    <definedName name="_xlpm.TotalDays" hidden="1" xlm="1">#NAME?</definedName>
    <definedName name="_xlpm.TotalHours" hidden="1" xlm="1">#NAME?</definedName>
    <definedName name="_xlpm.TotalMinutes" hidden="1" xlm="1">#NAME?</definedName>
    <definedName name="_xlpm.totalseconds" hidden="1" xlm="1">#NAME?</definedName>
    <definedName name="_xlpm.TotalYears" hidden="1" xlm="1">#NAME?</definedName>
    <definedName name="_xlpm.Trimmedtext" hidden="1" xlm="1">#NAME?</definedName>
    <definedName name="_xlpm.TrimmedtextLength" hidden="1" xlm="1">#NAME?</definedName>
    <definedName name="_xlpm.two" hidden="1" xlm="1">#NAME?</definedName>
    <definedName name="_xlpm.Type" hidden="1" xlm="1">#NAME?</definedName>
    <definedName name="_xlpm.typeHead" hidden="1" xlm="1">#NAME?</definedName>
    <definedName name="_xlpm.Types" hidden="1" xlm="1">#NAME?</definedName>
    <definedName name="_xlpm.u_bound" hidden="1" xlm="1">#NAME?</definedName>
    <definedName name="_xlpm.u_range" hidden="1" xlm="1">#NAME?</definedName>
    <definedName name="_xlpm.u_vals" hidden="1" xlm="1">#NAME?</definedName>
    <definedName name="_xlpm.ubound" hidden="1" xlm="1">#NAME?</definedName>
    <definedName name="_xlpm.upper" hidden="1" xlm="1">#NAME?</definedName>
    <definedName name="_xlpm.upper_mid" hidden="1" xlm="1">#NAME?</definedName>
    <definedName name="_xlpm.V" hidden="1" xlm="1">#NAME?</definedName>
    <definedName name="_xlpm.val_01" hidden="1" xlm="1">#NAME?</definedName>
    <definedName name="_xlpm.val_02" hidden="1" xlm="1">#NAME?</definedName>
    <definedName name="_xlpm.val_1" hidden="1" xlm="1">#NAME?</definedName>
    <definedName name="_xlpm.val_2" hidden="1" xlm="1">#NAME?</definedName>
    <definedName name="_xlpm.val_array" hidden="1" xlm="1">#NAME?</definedName>
    <definedName name="_xlpm.val_array_r" hidden="1" xlm="1">#NAME?</definedName>
    <definedName name="_xlpm.valid" hidden="1" xlm="1">#NAME?</definedName>
    <definedName name="_xlpm.vals" hidden="1" xlm="1">#NAME?</definedName>
    <definedName name="_xlpm.value" hidden="1" xlm="1">#NAME?</definedName>
    <definedName name="_xlpm.value_if_blank" hidden="1" xlm="1">#NAME?</definedName>
    <definedName name="_xlpm.value_if_omitted" hidden="1" xlm="1">#NAME?</definedName>
    <definedName name="_xlpm.values" hidden="1" xlm="1">#NAME?</definedName>
    <definedName name="_xlpm.values_col" hidden="1" xlm="1">#NAME?</definedName>
    <definedName name="_xlpm.verbose" hidden="1" xlm="1">#NAME?</definedName>
    <definedName name="_xlpm.verbose_out" hidden="1" xlm="1">#NAME?</definedName>
    <definedName name="_xlpm.vertical_labels" hidden="1" xlm="1">#NAME?</definedName>
    <definedName name="_xlpm.vertical_values" hidden="1" xlm="1">#NAME?</definedName>
    <definedName name="_xlpm.volume" hidden="1" xlm="1">#NAME?</definedName>
    <definedName name="_xlpm.weights" hidden="1" xlm="1">#NAME?</definedName>
    <definedName name="_xlpm.weights_col" hidden="1" xlm="1">#NAME?</definedName>
    <definedName name="_xlpm.WhiteSpaceSubstitution" hidden="1" xlm="1">#NAME?</definedName>
    <definedName name="_xlpm.whole_name" hidden="1" xlm="1">#NAME?</definedName>
    <definedName name="_xlpm.word" hidden="1" xlm="1">#NAME?</definedName>
    <definedName name="_xlpm.wts" hidden="1" xlm="1">#NAME?</definedName>
    <definedName name="_xlpm.x" hidden="1" xlm="1">#NAME?</definedName>
    <definedName name="_xlpm.x_1" hidden="1" xlm="1">#NAME?</definedName>
    <definedName name="_xlpm.x_2" hidden="1" xlm="1">#NAME?</definedName>
    <definedName name="_xlpm.x_list" hidden="1" xlm="1">#NAME?</definedName>
    <definedName name="_xlpm.x_raw" hidden="1" xlm="1">#NAME?</definedName>
    <definedName name="_xlpm.xlcm" hidden="1" xlm="1">#NAME?</definedName>
    <definedName name="_xlpm.xmatch_count" hidden="1" xlm="1">#NAME?</definedName>
    <definedName name="_xlpm.xmatch_counta" hidden="1" xlm="1">#NAME?</definedName>
    <definedName name="_xlpm.xmatch_countu" hidden="1" xlm="1">#NAME?</definedName>
    <definedName name="_xlpm.y" hidden="1" xlm="1">#NAME?</definedName>
    <definedName name="_xlpm.y_raw" hidden="1" xlm="1">#NAME?</definedName>
    <definedName name="_xlpm.year_len" hidden="1" xlm="1">#NAME?</definedName>
    <definedName name="_xlpm.Years" hidden="1" xlm="1">#NAME?</definedName>
    <definedName name="_xlpm.z" hidden="1" xlm="1">#NAME?</definedName>
    <definedName name="_xlpm.z_raw" hidden="1" xlm="1">#NAME?</definedName>
    <definedName name="_xlpm.zone_labels" hidden="1" xlm="1">#NAME?</definedName>
    <definedName name="_xlpm.zone1Offset" hidden="1" xlm="1">#NAME?</definedName>
    <definedName name="_xlpm.zone2Offset" hidden="1" xlm="1">#NAME?</definedName>
    <definedName name="_xlpm.μ" hidden="1" xlm="1">#NAME?</definedName>
    <definedName name="_xlpm.μ_minus_σ" hidden="1" xlm="1">#NAME?</definedName>
    <definedName name="_xlpm.μ_plus_σ" hidden="1" xlm="1">#NAME?</definedName>
    <definedName name="_xlpm.σ" hidden="1" xlm="1">#NAME?</definedName>
    <definedName name="allradii">#REF!</definedName>
    <definedName name="APPENDCOLS">_xlfn.LAMBDA(_xlpm.array1,_xlpm.array2, _xlfn.LET(_xlpm.array1Rows, ROWS(_xlpm.array1), _xlpm.array1Cols, COLUMNS(_xlpm.array1), _xlpm.array2Rows, ROWS(_xlpm.array2), _xlpm.array2Cols, COLUMNS(_xlpm.array2), _xlpm.rowLen, MAX(_xlpm.array1Rows, _xlpm.array2Rows), _xlpm.colLen, _xlpm.array1Cols + _xlpm.array2Cols, _xlpm.newArray, _xlfn.SEQUENCE(_xlpm.rowLen, _xlpm.colLen), _xlpm.colIndex, MOD(_xlpm.newArray - 1, _xlpm.colLen) + 1, _xlpm.rowIndex, 1 + ((_xlpm.newArray - _xlpm.colIndex) / _xlpm.colLen), _xlpm.resultArray, IF(_xlpm.colIndex &gt; _xlpm.array1Cols, INDEX(_xlpm.array2, _xlpm.rowIndex, _xlpm.colIndex - _xlpm.array1Cols), INDEX(_xlpm.array1, _xlpm.rowIndex, _xlpm.colIndex)), _xlpm.resultArray))</definedName>
    <definedName name="APPENDROWS">_xlfn.LAMBDA(_xlpm.array1,_xlpm.array2, _xlfn.LET(_xlpm.array1Rows, ROWS(_xlpm.array1), _xlpm.colIndex, _xlfn.SEQUENCE(, MAX(COLUMNS(_xlpm.array1), COLUMNS(_xlpm.array2))), _xlpm.rowIndex1, _xlfn.SEQUENCE(_xlpm.array1Rows + ROWS(_xlpm.array2)), _xlpm.rowIndex2, _xlpm.rowIndex1 - _xlpm.array1Rows, IF(_xlpm.rowIndex2 &gt;= 1, INDEX(_xlpm.array2, _xlpm.rowIndex2, _xlpm.colIndex), INDEX(_xlpm.array1, _xlpm.rowIndex1, _xlpm.colIndex))))</definedName>
    <definedName name="APPROXIMATE_FRACTION">_xlfn.LAMBDA(_xlpm.input,_xlop.mode,_xlop.prec, _xlfn.LET(_xlpm.mode, IF((_xlpm.mode &gt; 1) + (_xlfn.ISOMITTED(_xlpm.mode)), 0, _xlpm.mode), _xlpm.prec, IF(_xlfn.ISOMITTED(_xlpm.prec), 3, _xlpm.prec), _xlpm.fmt, _xlfn.CONCAT("?/", REPT("?", _xlpm.prec)), _xlpm.fraction, _xlfn.SWITCH(_xlpm.mode, 0, TEXT(_xlpm.input, _xlpm.fmt), 1, TEXT(MOD(_xlpm.input, 1), _xlpm.fmt)), _xlpm.output, _xlfn.SWITCH(_xlpm.mode, 0, _xlpm.fraction, 1, IF(QUOTIENT(_xlpm.input, 1) &lt;&gt; 0, _xlfn.TEXTJOIN("-", , QUOTIENT(_xlpm.input, 1), _xlpm.fraction), _xlpm.fraction)), _xlpm.output))</definedName>
    <definedName name="Astro.ASTRO_APPARENT_SOLAR_SIZE">_xlfn.LAMBDA(_xlpm.radius,_xlpm.distance,_xlop.format,_xlop.prec, _xlfn.LET(_xlpm.p, IF(_xlfn.ISOMITTED(_xlpm.prec), 4, _xlpm.prec), _xlpm.raw, _xlpm.radius / _xlpm.distance, _xlpm.result, IF(OR(_xlfn.ISOMITTED(_xlpm.format), _xlpm.format = "formatted"), TEXT(_xlpm.raw, "0." &amp; REPT("0", _xlpm.p)) &amp; "☉", _xlpm.raw), _xlpm.result))</definedName>
    <definedName name="Astro.ASTRO_CALC_TEMP">_xlfn.LAMBDA(_xlpm.subclass,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_xlpm.mtxStars, _xlfn.HSTACK(_xlpm.arrTypes, _xlpm.arrTHigh, _xlpm.arrSpan), _xlpm.no_space, SUBSTITUTE(_xlpm.subclass, " ", ""), _xlpm.dot_pos, FIND(".", _xlpm.no_space &amp; ".0"), _xlpm.base, LEFT(_xlpm.no_space, _xlpm.dot_pos - 1), _xlpm.F, VALUE("0." &amp; MID(_xlpm.no_space, _xlpm.dot_pos + 1, LEN(_xlpm.no_space))), _xlpm.T_high, _xlfn.XLOOKUP(_xlpm.base, INDEX(_xlpm.mtxStars, , 1), INDEX(_xlpm.mtxStars, , 2)), _xlpm.span, _xlfn.XLOOKUP(_xlpm.base, INDEX(_xlpm.mtxStars, , 1), INDEX(_xlpm.mtxStars, , 3)), _xlpm.result, _xlpm.T_high - (_xlpm.F * _xlpm.span), _xlpm.result))</definedName>
    <definedName name="Astro.ASTRO_CARTESIAN_TO_SPHERICAL">_xlfn.LAMBDA(_xlpm.x,_xlpm.y,_xlpm.z,_xlpm.prec, _xlfn.LET(_xlpm.prec, IF(_xlfn.ISOMITTED(_xlpm.prec) + (_xlpm.prec &lt; 0), 3, _xlpm.prec), _xlpm.r, SQRT(_xlpm.x ^ 2 + _xlpm.y ^ 2 + _xlpm.z ^ 2), _xlpm.phi, DEGREES(ACOS(_xlpm.z / _xlpm.r)), _xlpm.theta, MOD(DEGREES(ATAN2(_xlpm.y, _xlpm.x)), 360), _xlpm.phi_out, ROUND(_xlpm.phi, _xlpm.prec), _xlpm.theta_out, ROUND(_xlpm.theta, _xlpm.prec), _xlpm.r_out, ROUND(_xlpm.r, _xlpm.prec), _xlfn.HSTACK(_xlpm.phi_out, _xlpm.theta_out, _xlpm.r_out)))</definedName>
    <definedName name="Astro.ASTRO_DEGREES_TO_DMS_NUM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Astro.ASTRO_DEGREES_TO_DMS_TEXT">_xlfn.LAMBDA(_xlpm.DecimalDegrees,_xlpm.Precision,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Astro.ASTRO_DISPLAY_SPECTRAL">_xlfn.LAMBDA(_xlop.Type, _xlfn.LET(_xlpm.Types, {"O";"B";"A";"F";"G";"K";"M"}, _xlpm.headers, TRANSPOSE(_xlfn.VSTACK(" ", _xlpm.Types)), _xlpm.FindCol, _xlfn.MAKEARRAY(COUNTA(_xlpm.Types), 2, _xlfn.LAMBDA(_xlpm.r,_xlpm.c, IF(_xlpm.c = 1, INDEX(_xlpm.Types, _xlpm.r), _xlpm.r))), _xlpm.arrTypes, {"O";"O";"O";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"";"";"";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{"";"";"";2000;1500;1900;2400;2000;1800;1900;5400;5400;3600;600;700;1200;500;1700;1600;1000;400;500;200;350;150;190;150;170;190;180;200;200;70;80;120;200;70;100;130;120;70;90;50;40;20;60;50;70;100;110;100;70;270;230;160;140;200;110;60;80;190;100;130;220;150;250;130;110;190;280}, _xlpm.formattedData, _xlfn.BYROW(_xlfn.HSTACK(_xlpm.arrTypes, _xlpm.arrTHigh, _xlpm.arrSpan), _xlfn.LAMBDA(_xlpm.row, _xlfn.TEXTJOIN("; ", TRUE, TEXT(INDEX(_xlpm.row, 2), "0"), TEXT(INDEX(_xlpm.row, 3), "0")))), _xlpm.numbers, _xlfn.SEQUENCE(10, 1, 0, 1), _xlpm.O_Stars, _xlfn._xlws.FILTER(_xlpm.formattedData, LEFT(_xlpm.arrTypes, 1) = "O"), _xlpm.B_Stars, _xlfn._xlws.FILTER(_xlpm.formattedData, LEFT(_xlpm.arrTypes, 1) = "B"), _xlpm.A_Stars, _xlfn._xlws.FILTER(_xlpm.formattedData, LEFT(_xlpm.arrTypes, 1) = "A"), _xlpm.F_Stars, _xlfn._xlws.FILTER(_xlpm.formattedData, LEFT(_xlpm.arrTypes, 1) = "F"), _xlpm.G_Stars, _xlfn._xlws.FILTER(_xlpm.formattedData, LEFT(_xlpm.arrTypes, 1) = "G"), _xlpm.K_Stars, _xlfn._xlws.FILTER(_xlpm.formattedData, LEFT(_xlpm.arrTypes, 1) = "K"), _xlpm.M_Stars, _xlfn._xlws.FILTER(_xlpm.formattedData, LEFT(_xlpm.arrTypes, 1) = "M"), _xlpm.fullTable, _xlfn.VSTACK(_xlpm.headers, _xlfn.HSTACK(_xlpm.numbers, _xlpm.O_Stars, _xlpm.B_Stars, _xlpm.A_Stars, _xlpm.F_Stars, _xlpm.G_Stars, _xlpm.K_Stars, _xlpm.M_Stars)), _xlpm.temps, _xlfn._xlws.FILTER(_xlpm.arrTHigh, LEFT(_xlpm.arrTypes, 1) = _xlpm.Type), _xlpm.spans, _xlfn._xlws.FILTER(_xlpm.arrSpan, LEFT(_xlpm.arrTypes, 1) = _xlpm.Type), _xlpm.typeHead, _xlfn.HSTACK(_xlpm.Type, "span"), _xlpm.slimTable, _xlfn.VSTACK(_xlpm.typeHead, _xlfn.HSTACK(_xlpm.temps, _xlpm.spans)), _xlpm.result, IF(ISBLANK(_xlpm.Type), _xlpm.fullTable, _xlpm.slimTable), _xlpm.result))</definedName>
    <definedName name="Astro.ASTRO_DMS_NUM_TO_DEGREES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Astro.ASTRO_HAB_INDEX">_xlfn.LAMBDA(_xlpm.orbital_dist,_xlop.nucleal_radius,_xlop.prec, _xlfn.LET(_xlpm.rounding_precision, IF(_xlfn.ISOMITTED(_xlpm.prec), 3, _xlpm.prec), _xlpm.nucleal_radius, IF(_xlfn.ISOMITTED(_xlpm.nucleal_radius), 1, _xlpm.nucleal_radius), _xlpm.is_inner_orbit, IF(_xlpm.orbital_dist &lt; _xlpm.nucleal_radius, TRUE, FALSE), _xlpm.habitability_index, IF(_xlpm.is_inner_orbit, (2 * _xlpm.orbital_dist / _xlpm.nucleal_radius) - 1, (_xlpm.orbital_dist / (-3.85 * _xlpm.nucleal_radius)) + (4.85 / 3.85)), _xlpm.final_result, IF(_xlpm.habitability_index &lt;= 0, "U/I", ROUND(_xlpm.habitability_index, _xlpm.rounding_precision)), _xlpm.final_result))</definedName>
    <definedName name="Astro.ASTRO_HABITABLE_ZONES">_xlfn.LAMBDA(_xlpm.mode,_xlop.lum,_xlop.Precision, _xlfn.LET(_xlpm.mode, UPPER(_xlpm.mode), _xlpm.prec, IF(_xlfn.ISOMITTED(_xlpm.Precision), 3, _xlpm.Precision), _xlpm.zone_labels, {"Z0";"Z1";"Z2";"Z3";"Z4";"Z5"}, _xlpm.inner_factors, {0;0.5;0.75;0.95;1.385;1.77}, _xlpm.outer_factors, {0.5;0.75;0.95;1.385;1.77;4.85}, _xlpm.avg_factors, (_xlpm.inner_factors + _xlpm.outer_factors) / 2, _xlpm.span_factors, _xlpm.outer_factors - _xlpm.inner_factors, _xlpm.nucleal, SQRT(IF(_xlfn.ISOMITTED(_xlpm.lum), 1, _xlpm.lum)), _xlpm.inner_scaled, ROUND(_xlpm.nucleal * _xlpm.inner_factors, _xlpm.prec), _xlpm.outer_scaled, ROUND(_xlpm.nucleal * _xlpm.outer_factors, _xlpm.prec), _xlpm.avg_scaled, ROUND(_xlpm.nucleal * _xlpm.avg_factors, _xlpm.prec), _xlpm.span_scaled, ROUND(_xlpm.nucleal * _xlpm.span_factors, _xlpm.prec), _xlpm.vertical_labels, {"0: ","1: ","2: ","N ➔","3: ","4: ","5: "}, _xlpm.vertical_values, _xlfn.VSTACK(ROUND(INDEX(_xlpm.inner_factors,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_xlpm.result, _xlfn.SWITCH(_xlpm.mode, "STANDARD", CHOOSE({1,2,3,4,5}, _xlfn.VSTACK("Zone", _xlpm.zone_labels), _xlfn.VSTACK("Inner", _xlpm.inner_factors), _xlfn.VSTACK("Outer", _xlpm.outer_factors), _xlfn.VSTACK("Average", _xlpm.avg_factors), _xlfn.VSTACK("Span", _xlpm.span_factors)), "VERTICAL", _xlfn.LET(_xlpm.labels, {"0:","1:","2:","N ➔","3:","4:","5:"}, _xlpm.scaled_values, ROUND(_xlpm.nucleal * {0.5,0.75,0.95,1,1.385,1.77,4.85}, _xlpm.prec), TRANSPOSE(_xlfn.VSTACK(_xlpm.labels, _xlpm.scaled_values))), "HORIZONTAL", _xlfn.HSTACK(ROUND(INDEX(_xlpm.inner_factors, 2) * _xlpm.nucleal, _xlpm.prec), ROUND(INDEX(_xlpm.inner_factors, 3) * _xlpm.nucleal, _xlpm.prec), ROUND(INDEX(_xlpm.inner_factors, 4) * _xlpm.nucleal, _xlpm.prec), ROUND(_xlpm.nucleal, _xlpm.prec), ROUND(INDEX(_xlpm.outer_factors, 4) * _xlpm.nucleal, _xlpm.prec), ROUND(INDEX(_xlpm.outer_factors, 5) * _xlpm.nucleal, _xlpm.prec), ROUND(INDEX(_xlpm.outer_factors, 6) * _xlpm.nucleal, _xlpm.prec)), "Invalid mode"), _xlpm.result))</definedName>
    <definedName name="Astro.ASTRO_ORBIT_AXIS">_xlfn.LAMBDA(_xlpm.mass1,_xlpm.mass2,_xlpm.period, _xlfn.LET(_xlpm.m_2, IF((_xlfn.ISOMITTED(_xlpm.mass2)) + (_xlpm.mass2 = 1), 0, _xlpm.mass2 * 0.000003003), _xlpm.axis, POWER((POWER(_xlpm.period, 2) * (_xlpm.mass1 + _xlpm.m_2)), 1 / 3), _xlpm.axis))</definedName>
    <definedName name="Astro.ASTRO_ORBIT_CONFIGURATION_INDEX">_xlfn.LAMBDA(_xlpm.mass1,_xlpm.mass2, ABS(_xlpm.mass1 - _xlpm.mass2) / (_xlpm.mass1 + _xlpm.mass2))</definedName>
    <definedName name="Astro.ASTRO_ORBIT_PERIOD">_xlfn.LAMBDA(_xlpm.mass1,_xlpm.mass2,_xlpm.axis, _xlfn.LET(_xlpm.m_2, IF((_xlfn.ISOMITTED(_xlpm.mass2)) + (_xlpm.mass2 = 1), 0, _xlpm.mass2 * 0.00000300273), _xlpm.period, SQRT(POWER(_xlpm.axis, 3) / (_xlpm.mass1 + _xlpm.m_2)), _xlpm.period))</definedName>
    <definedName name="Astro.ASTRO_ORBIT_SOLVER">_xlfn.LAMBDA(_xlpm.mode,_xlpm.val_1,_xlpm.val_2,_xlpm.mass2,_xlpm.Precision, _xlfn.LET(_xlpm.m_2, IF(_xlfn.ISOMITTED(_xlpm.mass2) + (_xlpm.mass2 = 1), 0, _xlpm.mass2 * 0.000003003), _xlpm.prec, IF(_xlfn.ISOMITTED(_xlpm.Precision), 4, _xlpm.Precision), _xlpm.result, _xlfn.SWITCH(LOWER(_xlpm.mode), "axis", POWER((POWER(_xlpm.val_2, 2) * (_xlpm.val_1 + _xlpm.m_2)), 1 / 3), "period", SQRT(POWER(_xlpm.val_2, 3) / (_xlpm.val_1 + _xlpm.m_2)), "mass", POWER(_xlpm.val_1, 3) / POWER(_xlpm.val_2, 2), NA()), _xlpm.label, _xlfn.SWITCH(LOWER(_xlpm.mode), "axis", "Axis = ", "period", "Period = ", "mass", "Mass = ", "?"), TEXT(_xlpm.result, "0." &amp; REPT("0", _xlpm.prec)) &amp; " " &amp; _xlpm.label))</definedName>
    <definedName name="Astro.ASTRO_ORBIT_SUM_MASSES">_xlfn.LAMBDA(_xlpm.axis,_xlpm.period, POWER(_xlpm.axis, 3) / POWER(_xlpm.period, 2))</definedName>
    <definedName name="Astro.ASTRO_PLANET_METRICS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_xlfn.SWITCH(_xlpm.mode, "md", {"m ➔","r","d ➔","g","v"}, "mr", {"m ➔","r ➔","d","g","v"}, "mg", {"m ➔","r","d","g ➔","v"}, "rd", {"m","r ➔","d ➔","g","v"}, "rg", {"m","r ➔","d","g ➔","v"}, "dg", {"m","r","d ➔","g ➔","v"}, "dv", {"m","r","d ➔","g","v ➔"}, "gv", {"m","r","d","g ➔","v ➔"}, "mv", {"m ➔","r","d","g","v ➔"}, "rv", {"m","r ➔","d","g","v ➔"}, {"m","r","d","g","v"}), _xlpm.values, ROUND(_xlpm.output, _xlpm.prec), CHOOSE({1,2}, TRANSPOSE(_xlpm.headers), TRANSPOSE(_xlpm.values))))</definedName>
    <definedName name="Astro.ASTRO_PLANET_METRICS_SAFETY">_xlfn.LAMBDA(_xlpm.mode,_xlpm.param_1,_xlpm.param_2,_xlop.prec, _xlfn.LET(_xlpm.prec, IF(_xlfn.ISOMITTED(_xlpm.prec), 5, _xlpm.prec), _xlpm.mode, LOWER(_xlpm.mode), _xlpm.output, _xlfn.SWITCH(_xlpm.mode, "md", _xlfn.LET(_xlpm.M, _xlpm.param_1, _xlpm.d, _xlpm.param_2, _xlpm.r, (_xlpm.M / _xlpm.d) ^ (1 / 3), _xlpm.g, (_xlpm.M * _xlpm.d ^ 2) ^ (1 / 3), _xlpm.V, (_xlpm.M * SQRT(_xlpm.d)) ^ (1 / 3), _xlfn.HSTACK(_xlpm.M, _xlpm.r, _xlpm.d, _xlpm.g, _xlpm.V)), "mr", _xlfn.LET(_xlpm.M, _xlpm.param_1, _xlpm.r, _xlpm.param_2, _xlpm.d, _xlpm.M / _xlpm.r ^ 3, _xlpm.g, _xlpm.M / _xlpm.r ^ 2, _xlpm.V, SQRT(_xlpm.M / _xlpm.r), _xlfn.HSTACK(_xlpm.M, _xlpm.r, _xlpm.d, _xlpm.g, _xlpm.V)), "mg", _xlfn.LET(_xlpm.M, _xlpm.param_1, _xlpm.g, _xlpm.param_2, _xlpm.r, SQRT(_xlpm.M / _xlpm.g), _xlpm.d, SQRT(_xlpm.g ^ 3 / _xlpm.M), _xlpm.V, (_xlpm.M * _xlpm.g) ^ 0.25, _xlfn.HSTACK(_xlpm.M, _xlpm.r, _xlpm.d, _xlpm.g, _xlpm.V)), "rd", _xlfn.LET(_xlpm.r, _xlpm.param_1, _xlpm.d, _xlpm.param_2, _xlpm.M, _xlpm.d * _xlpm.r ^ 3, _xlpm.g, _xlpm.d * _xlpm.r, _xlpm.V, _xlpm.r * SQRT(_xlpm.d), _xlfn.HSTACK(_xlpm.M, _xlpm.r, _xlpm.d, _xlpm.g, _xlpm.V)), "rg", _xlfn.LET(_xlpm.r, _xlpm.param_1, _xlpm.g, _xlpm.param_2, _xlpm.M, _xlpm.g * _xlpm.r ^ 2, _xlpm.d, _xlpm.g / _xlpm.r, _xlpm.V, SQRT(_xlpm.g * _xlpm.r), _xlfn.HSTACK(_xlpm.M, _xlpm.r, _xlpm.d, _xlpm.g, _xlpm.V)), "dg", _xlfn.LET(_xlpm.d, _xlpm.param_1, _xlpm.g, _xlpm.param_2, _xlpm.r, _xlpm.g / _xlpm.d, _xlpm.M, _xlpm.g ^ 3 / _xlpm.d ^ 2, _xlpm.V, _xlpm.g / SQRT(_xlpm.d), _xlfn.HSTACK(_xlpm.M, _xlpm.r, _xlpm.d, _xlpm.g, _xlpm.V)), "dv", _xlfn.LET(_xlpm.d, _xlpm.param_1, _xlpm.V, _xlpm.param_2, _xlpm.r, _xlpm.V / SQRT(_xlpm.d), _xlpm.M, _xlpm.V ^ 3 / SQRT(_xlpm.d), _xlpm.g, _xlpm.V * SQRT(_xlpm.d), _xlfn.HSTACK(_xlpm.M, _xlpm.r, _xlpm.d, _xlpm.g, _xlpm.V)), "gv", _xlfn.LET(_xlpm.g, _xlpm.param_1, _xlpm.V, _xlpm.param_2, _xlpm.r, _xlpm.V ^ 2 / _xlpm.g, _xlpm.M, _xlpm.V ^ 4 / _xlpm.g, _xlpm.d, (_xlpm.g / _xlpm.V) ^ 2, _xlfn.HSTACK(_xlpm.M, _xlpm.r, _xlpm.d, _xlpm.g, _xlpm.V)), "mv", _xlfn.LET(_xlpm.M, _xlpm.param_1, _xlpm.V, _xlpm.param_2, _xlpm.r, _xlpm.M / _xlpm.V ^ 2, _xlpm.g, _xlpm.V ^ 4 / _xlpm.M, _xlpm.d, _xlpm.V ^ 6 / _xlpm.M ^ 2, _xlfn.HSTACK(_xlpm.M, _xlpm.r, _xlpm.d, _xlpm.g, _xlpm.V)), "rv", _xlfn.LET(_xlpm.r, _xlpm.param_1, _xlpm.V, _xlpm.param_2, _xlpm.g, _xlpm.V ^ 2 / _xlpm.r, _xlpm.M, _xlpm.r * _xlpm.V ^ 2, _xlpm.d, (_xlpm.V / _xlpm.r) ^ 2, _xlfn.HSTACK(_xlpm.M, _xlpm.r, _xlpm.d, _xlpm.g, _xlpm.V)), NA()), _xlpm.headers, {"M","R","d","g","v"}, _xlpm.values, ROUND(_xlpm.output, _xlpm.prec), CHOOSE({1,2}, TRANSPOSE(_xlpm.headers), TRANSPOSE(_xlpm.values))))</definedName>
    <definedName name="Astro.ASTRO_SPECTRAL_DISTRIBUTION">_xlfn.LAMBDA(_xlop.anchor_class,_xlop.anchor_count,_xlop.decimal_places, _xlfn.LET(_xlpm.anchor_class, IF(_xlfn.ISOMITTED(_xlpm.anchor_class), "$", UPPER(_xlpm.anchor_class)), _xlpm.anchor_count, IF(_xlfn.ISOMITTED(_xlpm.anchor_count), 1, _xlpm.anchor_count), _xlpm.decimal_places, IF(_xlfn.ISOMITTED(_xlpm.decimal_places), 3, _xlpm.decimal_places), _xlpm.arr_classes, {"O";"B";"A";"F";"G";"K";"M"}, _xlpm.arr_base_pct, {0.00003;0.13;0.6;3;7.6;12.1;76.27}, _xlpm.arr_base_frac, _xlfn.BYROW(_xlpm.arr_base_pct, _xlfn.LAMBDA(_xlpm.x, _xlpm.x / 100)), _xlpm.anchor_freq, _xlfn.XLOOKUP(_xlpm.anchor_class, _xlpm.arr_classes, _xlpm.arr_base_frac, 1), _xlpm.scaling_factor, _xlpm.anchor_count / _xlpm.anchor_freq, _xlpm.scaled, IF(_xlpm.anchor_class = "$", _xlpm.arr_base_frac, _xlfn.BYROW(_xlpm.arr_base_frac, _xlfn.LAMBDA(_xlpm.x, _xlpm.x * _xlpm.scaling_factor))), _xlpm.output, _xlfn.HSTACK(_xlpm.arr_classes, ROUND(_xlpm.scaled, _xlpm.decimal_places)), _xlpm.output))</definedName>
    <definedName name="Astro.ASTRO_SPHERICAL_TO_CARTESIAN">_xlfn.LAMBDA(_xlpm.phi,_xlpm.theta,_xlpm.r,_xlpm.prec, _xlfn.LET(_xlpm.prec, IF(_xlfn.ISOMITTED(_xlpm.prec) + (_xlpm.prec &lt; 0), 3, _xlpm.prec), _xlpm.phi_rad, RADIANS(_xlpm.phi), _xlpm.theta_rad, RADIANS(_xlpm.theta), _xlpm.x_raw, _xlpm.r * SIN(_xlpm.phi_rad) * COS(_xlpm.theta_rad), _xlpm.y_raw, _xlpm.r * SIN(_xlpm.phi_rad) * SIN(_xlpm.theta_rad), _xlpm.z_raw, _xlpm.r * COS(_xlpm.phi_rad), _xlpm.x, ROUND(_xlpm.x_raw, _xlpm.prec), _xlpm.y, ROUND(_xlpm.y_raw, _xlpm.prec), _xlpm.z, ROUND(_xlpm.z_raw, _xlpm.prec), _xlfn.HSTACK(_xlpm.x, _xlpm.y, _xlpm.z)))</definedName>
    <definedName name="Astro.ASTRO_STAR_ATTRIBUTES">_xlfn.LAMBDA(_xlpm.mode,_xlpm.input,_xlop.Precision, _xlfn.LET(_xlpm.prec, IF(_xlfn.ISOMITTED(_xlpm.Precision), 6, _xlpm.Precision), _xlpm.mode, UPPER(_xlpm.mode), _xlpm.Tnorm, _xlfn.SWITCH(_xlpm.mode, "T", _xlpm.input, "K", _xlpm.input / 5770, "M", SQRT(_xlpm.input), "R", _xlpm.input ^ (1 / 1.8), "L", _xlpm.input ^ (1 / 7.6), "V", _xlpm.input ^ (-1 / 5), NA()), _xlpm.K, _xlpm.Tnorm * 5770, _xlpm.M, _xlpm.Tnorm ^ 2, _xlpm.r, _xlpm.Tnorm ^ 1.8, _xlpm.L, _xlpm.Tnorm ^ 7.6, _xlpm.V, _xlpm.Tnorm ^ -5, _xlpm.labels, TRANSPOSE({"K","T","M","R","L","V"}), _xlpm.output_values, _xlfn.VSTACK(ROUND(_xlpm.K, _xlpm.prec), ROUND(_xlpm.Tnorm, _xlpm.prec), ROUND(_xlpm.M, _xlpm.prec), ROUND(_xlpm.r, _xlpm.prec), ROUND(_xlpm.L, _xlpm.prec), ROUND(_xlpm.V, _xlpm.prec)), _xlpm.flagged_labels, _xlfn.BYROW(_xlpm.labels, _xlfn.LAMBDA(_xlpm.row, IF(_xlpm.row = _xlpm.mode, _xlpm.row &amp; " ➔", _xlpm.row))), CHOOSE({1,2}, _xlpm.flagged_labels, _xlpm.output_values)))</definedName>
    <definedName name="Astro.ASTRO_STAR_DENSITY_VOLUME">_xlfn.LAMBDA(_xlpm.input,_xlop.prec,_xlop.mode, _xlfn.LET(_xlpm.mode, IF(_xlfn.ISOMITTED(_xlpm.mode) + (_xlpm.mode &lt; 0) + (_xlpm.mode &gt; 1), 0, _xlpm.mode), _xlpm.prec, IF(_xlfn.ISOMITTED(_xlpm.prec) + (_xlpm.prec &lt; 0), 3, _xlpm.prec), _xlpm.volume, IF(_xlpm.mode = 0, _xlpm.input, (4 / 3) * PI() * _xlpm.input ^ 3), _xlpm.radius, IF(_xlpm.mode = 1, _xlpm.input, ROUND(((3 * _xlpm.volume) / (4 * PI())) ^ (1 / 3), _xlpm.prec)), _xlpm.stars, ROUND(_xlpm.volume / 250, _xlpm.prec), _xlpm.output, _xlfn.SWITCH(_xlpm.mode, 0, _xlfn.TOCOL(_xlfn.TEXTSPLIT(_xlfn.TEXTJOIN("; ", , "Stars: " &amp; _xlpm.stars, "Radius: " &amp; _xlpm.radius), "; ")), 1, _xlfn.TOCOL(_xlfn.TEXTSPLIT(_xlfn.TEXTJOIN("; ", , "Stars: " &amp; _xlpm.stars, "Volume: " &amp; _xlpm.volume), "; "))), _xlpm.output))</definedName>
    <definedName name="Astro.ASTRO_SYNODIC_PQ">_xlfn.LAMBDA(_xlpm.p,_xlpm.q,_xlop.output,_xlop.prec, _xlfn.LET(_xlpm.mode, IF(_xlfn.ISOMITTED(_xlpm.output) + (_xlpm.output = ""), "bare", LOWER(_xlpm.output)), _xlpm.digits, IF(_xlfn.ISOMITTED(_xlpm.prec), 4, _xlpm.prec), _xlpm.a, MAX(_xlpm.p, _xlpm.q), _xlpm.b, MIN(_xlpm.p, _xlpm.q), _xlpm.s, ROUND((_xlpm.a * _xlpm.b) / (_xlpm.a - _xlpm.b), _xlpm.digits), _xlpm.verbose, _xlfn.VSTACK(_xlfn.HSTACK("P =", _xlpm.p), _xlfn.HSTACK("Q =", _xlpm.q), _xlfn.HSTACK("S ☞", _xlpm.s)), _xlpm.result, IF(_xlpm.mode = "verbose", _xlpm.verbose, _xlpm.s), _xlpm.result))</definedName>
    <definedName name="Astro.ASTRO_SYNODIC_PS">_xlfn.LAMBDA(_xlpm.p,_xlpm.s,_xlop.output,_xlop.prec, _xlfn.LET(_xlpm.mode, IF(_xlfn.ISOMITTED(_xlpm.output) + (_xlpm.output = ""), "bare", LOWER(_xlpm.output)), _xlpm.digits, IF(_xlfn.ISOMITTED(_xlpm.prec), 4, _xlpm.prec), _xlpm.q, ROUND((_xlpm.p * _xlpm.s) / ABS(_xlpm.p - _xlpm.s), _xlpm.digits), _xlpm.verbose, _xlfn.VSTACK(_xlfn.HSTACK("P =", _xlpm.p), _xlfn.HSTACK("Q ☞", _xlpm.q), _xlfn.HSTACK("S =", _xlpm.s)), _xlpm.result, IF(_xlpm.mode = "verbose", _xlpm.verbose, _xlpm.q), _xlpm.result))</definedName>
    <definedName name="Astro.ASTRO_SYNODIC_QS">_xlfn.LAMBDA(_xlpm.q,_xlpm.s,_xlop.output,_xlop.prec, _xlfn.LET(_xlpm.mode, IF(_xlfn.ISOMITTED(_xlpm.output) + (_xlpm.output = ""), "bare", LOWER(_xlpm.output)), _xlpm.digits, IF(_xlfn.ISOMITTED(_xlpm.prec), 4, _xlpm.prec), _xlpm.p, ROUND((_xlpm.q * _xlpm.s) / (_xlpm.q + _xlpm.s), _xlpm.digits), _xlpm.verbose, _xlfn.VSTACK(_xlfn.HSTACK("P ☞", _xlpm.p), _xlfn.HSTACK("Q =", _xlpm.q), _xlfn.HSTACK("S =", _xlpm.s)), _xlpm.result, IF(_xlpm.mode = "verbose", _xlpm.verbose, _xlpm.p), _xlpm.result))</definedName>
    <definedName name="Astro.ASTRO_SYNODIC_SOLVER">_xlfn.LAMBDA(_xlpm.val_1,_xlpm.val_2,_xlop.mode,_xlop.format,_xlop.prec, _xlfn.LET(_xlpm.raw_mode, IF(_xlfn.ISOMITTED(_xlpm.mode) + (_xlpm.mode = ""), "PQ", _xlpm.mode), _xlpm.norm_mode, _xlfn.TEXTJOIN("", , _xlfn._xlws.SORT(MID(LOWER(_xlpm.raw_mode), _xlfn.SEQUENCE(LEN(_xlpm.raw_mode)), 1))), _xlpm.mode, _xlpm.norm_mode, _xlpm.format, IF(_xlfn.ISOMITTED(_xlpm.format) + (_xlpm.format = ""), "bare", LOWER(_xlpm.format)), _xlpm.prec, IF(_xlfn.ISOMITTED(_xlpm.prec), 4, _xlpm.prec), _xlpm.P_in, IF(OR(_xlpm.mode = "pq", _xlpm.mode = "ps"), _xlpm.val_1, NA()), _xlpm.Q_in, IF(_xlpm.mode = "pq", _xlpm.val_2, IF(_xlpm.mode = "qs", _xlpm.val_1, NA())), _xlpm.S_in, IF(OR(_xlpm.mode = "ps", _xlpm.mode = "qs"), _xlpm.val_2, NA()), _xlpm.p, IF(AND(ISNUMBER(_xlpm.P_in), ISNUMBER(_xlpm.Q_in)), MAX(_xlpm.P_in, _xlpm.Q_in), _xlpm.P_in), _xlpm.q, IF(AND(ISNUMBER(_xlpm.P_in), ISNUMBER(_xlpm.Q_in)), MIN(_xlpm.P_in, _xlpm.Q_in), _xlpm.Q_in), _xlpm.S_calc, IF(_xlpm.p = _xlpm.q, NA(), ROUND((_xlpm.p * _xlpm.q) / (_xlpm.p - _xlpm.q), _xlpm.prec)), _xlpm.Q_calc, IF(OR(NOT(ISNUMBER(_xlpm.p)), NOT(ISNUMBER(_xlpm.S_in))), NA(), ROUND((_xlpm.p * _xlpm.S_in) / ABS(_xlpm.p - _xlpm.S_in), _xlpm.prec)), _xlpm.P_calc, IF(OR(NOT(ISNUMBER(_xlpm.q)), NOT(ISNUMBER(_xlpm.S_in))), NA(), ROUND((_xlpm.q * _xlpm.S_in) / ABS(_xlpm.q - _xlpm.S_in), _xlpm.prec)), _xlpm.P_val, IF(_xlpm.mode = "qs", _xlpm.P_calc, _xlpm.p), _xlpm.Q_val, IF(_xlpm.mode = "ps", _xlpm.Q_calc, _xlpm.q), _xlpm.S_val, IF(_xlpm.mode = "pq", _xlpm.S_calc, _xlpm.S_in), _xlpm.label, _xlfn.SWITCH(_xlpm.mode, "pq", "S", "ps", "Q", "qs", "P", "?"), _xlpm.result, _xlfn.SWITCH(_xlpm.mode, "pq", _xlpm.S_calc, "ps", _xlpm.Q_calc, "qs", _xlpm.P_calc, NA()), _xlpm.verbose_out, "P = " &amp; IF(ISNUMBER(_xlpm.P_val), IF(_xlpm.mode = "qs", "☞ " &amp; _xlpm.P_val, _xlpm.P_val), "—") &amp; ", " &amp; "Q = " &amp; IF(ISNUMBER(_xlpm.Q_val), IF(_xlpm.mode = "ps", "☞ " &amp; _xlpm.Q_val, _xlpm.Q_val), "—") &amp; ", " &amp; "S = " &amp; IF(ISNUMBER(_xlpm.S_val), IF(_xlpm.mode = "pq", "☞ " &amp; _xlpm.S_val, _xlpm.S_val), "—"), _xlpm.row_out, _xlfn.VSTACK(_xlfn.HSTACK(IF(_xlpm.mode = "qs", "P ☞", "P ="), IF(_xlpm.mode = "ps", "Q ☞", "Q ="), IF(_xlpm.mode = "pq", "S ☞", "S =")), _xlfn.HSTACK(_xlpm.P_val, _xlpm.Q_val, _xlpm.S_val)), _xlpm.col_out, _xlfn.VSTACK(_xlfn.HSTACK(IF(_xlpm.mode = "qs", "P ☞", "P ="), _xlpm.P_val), _xlfn.HSTACK(IF(_xlpm.mode = "ps", "Q ☞", "Q ="), _xlpm.Q_val), _xlfn.HSTACK(IF(_xlpm.mode = "pq", "S ☞", "S ="), _xlpm.S_val)), _xlpm.output, _xlfn.SWITCH(_xlpm.format, "bare", _xlpm.result, "labeled", _xlpm.label &amp; " = " &amp; _xlpm.result, "verbose", _xlpm.verbose_out, "row", _xlpm.row_out, "col", _xlpm.col_out, "Invalid format"), _xlpm.output))</definedName>
    <definedName name="Astro.ASTRO_TYPE_FROM_TEMP">_xlfn.LAMBDA(_xlpm.temp,_xlop.decimals, _xlfn.LET(_xlpm.arrTypes, {"O3";"O4";"O5";"O6";"O7";"O8";"O9";"B0";"B1";"B2";"B3";"B4";"B5";"B6";"B7";"B8";"B9";"A0";"A1";"A2";"A3";"A4";"A5";"A6";"A7";"A8";"A9";"F0";"F1";"F2";"F3";"F4";"F5";"F6";"F7";"F8";"F9";"G0";"G1";"G2";"G3";"G4";"G5";"G6";"G7";"G8";"G9";"K0";"K1";"K2";"K3";"K4";"K5";"K6";"K7";"K8";"K9";"M0";"M1";"M2";"M3";"M4";"M5";"M6";"M7";"M8";"M9"}, _xlpm.arrTHigh, {44900;42900;41400;39500;37100;35100;33300;31400;26000;20600;17000;16400;15700;14500;14000;12300;10700;9700;9300;8800;8600;8250;8100;7910;7760;7590;7400;7220;7020;6820;6750;6670;6550;6350;6280;6180;6050;5930;5860;5770;5720;5680;5660;5600;5550;5480;5380;5270;5170;5100;4830;4600;4440;4300;4100;3990;3930;3850;3660;3560;3430;3210;3060;2810;2680;2570;2380}, _xlpm.arrSpan, {2000;1500;1900;2400;2000;1800;1900;5400;5400;3600;600;700;1200;500;1700;1600;1000;400;500;200;350;150;190;150;170;190;180;200;200;70;80;120;200;70;100;130;120;70;90;50;40;20;60;50;70;100;110;100;70;270;230;160;140;200;110;60;80;190;100;130;220;150;250;130;110;190;280}, _xlpm.temp_in_range, _xlfn.MAP(_xlfn.SEQUENCE(ROWS(_xlpm.arrTHigh)), _xlfn.LAMBDA(_xlpm.i, AND(INDEX(_xlpm.arrTHigh, _xlpm.i) &gt;= _xlpm.temp, _xlpm.temp &gt; INDEX(_xlpm.arrTHigh, _xlpm.i) - INDEX(_xlpm.arrSpan, _xlpm.i)))), _xlpm.idx, _xlfn.XMATCH(TRUE, _xlpm.temp_in_range), _xlpm.full_type, INDEX(_xlpm.arrTypes, _xlpm.idx), _xlpm.T_high, INDEX(_xlpm.arrTHigh, _xlpm.idx), _xlpm.span, INDEX(_xlpm.arrSpan, _xlpm.idx), _xlpm.F, (_xlpm.T_high - _xlpm.temp) / _xlpm.span, _xlpm.dec, IF(_xlfn.ISOMITTED(_xlpm.decimals), 3, _xlpm.decimals), _xlpm.format_string, "." &amp; REPT("0", _xlpm.dec), _xlpm.subclass, _xlpm.full_type &amp; TEXT(_xlpm.F, _xlpm.format_string), _xlpm.subclass))</definedName>
    <definedName name="Astro.NASTRO_HABITABLE_ZONES">_xlfn.LAMBDA(_xlpm.mode,_xlop.lum,_xlop.prec, _xlfn.LET(_xlpm.dec, IF(_xlfn.ISOMITTED(_xlpm.prec), 3, _xlpm.prec), _xlpm.L, IF(_xlfn.ISOMITTED(_xlpm.lum), 1, _xlpm.lum), _xlpm.nuc, SQRT(_xlpm.L), _xlpm.zone_labels, {"Z0","Z1","Z2","Z3","Z4","Z5"}, _xlpm.inner_factors, {0,0.5,0.75,0.95,1.385,1.77}, _xlpm.outer_factors, {0.5,0.75,0.95,1.385,1.77,4.85}, _xlpm.avg_factors, {0.25,0.625,0.85,1.1675,1.5775,3.31}, _xlpm.span_factors, {0.5,0.25,0.2,0.435,0.385,3.08}, _xlpm.inner_scaled, ROUND(_xlpm.nuc * _xlpm.inner_factors, _xlpm.dec), _xlpm.outer_scaled, ROUND(_xlpm.nuc * _xlpm.outer_factors, _xlpm.dec), _xlpm.avg_scaled, ROUND(_xlpm.nuc * _xlpm.avg_factors, _xlpm.dec), _xlpm.span_scaled, ROUND(_xlpm.nuc * _xlpm.span_factors, _xlpm.dec), _xlpm.row_1, _xlfn.VSTACK("Zone", _xlpm.zone_labels), _xlpm.row_2, _xlfn.VSTACK("Inner", IF(_xlpm.mode = "STANDARD", _xlpm.inner_factors, _xlpm.inner_scaled)), _xlpm.row_3, _xlfn.VSTACK("Outer", IF(_xlpm.mode = "STANDARD", _xlpm.outer_factors, _xlpm.outer_scaled)), _xlpm.row_4, _xlfn.VSTACK("Average", IF(_xlpm.mode = "STANDARD", _xlpm.avg_factors, _xlpm.avg_scaled)), _xlpm.row_5, _xlfn.VSTACK("Span", IF(_xlpm.mode = "STANDARD", _xlpm.span_factors, _xlpm.span_scaled)), _xlpm.vertical_labels, {"0:","1:","2:","N ➔","3:","4:","5:"}, _xlpm.vertical_values, ROUND({0.5,0.75,0.95,1,1.385,1.77,4.85} * _xlpm.nuc, _xlpm.dec), _xlpm.horizontal_values, _xlfn.HSTACK(ROUND(0.5 * _xlpm.nuc, _xlpm.dec), ROUND(0.75 * _xlpm.nuc, _xlpm.dec), ROUND(0.95 * _xlpm.nuc, _xlpm.dec), ROUND(1 * _xlpm.nuc, _xlpm.dec), ROUND(1.385 * _xlpm.nuc, _xlpm.dec), ROUND(1.77 * _xlpm.nuc, _xlpm.dec), ROUND(4.85 * _xlpm.nuc, _xlpm.dec)), _xlfn.SWITCH(UPPER(_xlpm.mode), "STANDARD", _xlfn.HSTACK(_xlpm.row_1, _xlpm.row_2, _xlpm.row_3, _xlpm.row_4, _xlpm.row_5), "TABLE", _xlfn.HSTACK(_xlpm.row_1, _xlpm.row_2, _xlpm.row_3, _xlpm.row_4, _xlpm.row_5), "VERTICAL", _xlfn.HSTACK(_xlpm.vertical_labels, _xlpm.vertical_values), "HORIZONTAL", _xlpm.horizontal_values, "Invalid mode")))</definedName>
    <definedName name="AU.KM">_xlfn.LAMBDA(AU.M() / 1000)</definedName>
    <definedName name="AU.M">_xlfn.LAMBDA(149597870700)</definedName>
    <definedName name="AvgBracket">_xlfn.LAMBDA(_xlpm.range,_xlpm.mode,_xlfn.XLOOKUP(AVERAGE(_xlpm.range),_xlpm.range,_xlpm.range,"",_xlpm.mode))</definedName>
    <definedName name="AXIS_PERIOD">_xlfn.LAMBDA(_xlpm.input, _xlfn.LET(_xlpm.output, SQRT(POWER(_xlpm.input, 3)), _xlpm.output))</definedName>
    <definedName name="BENFORD">_xlfn.LAMBDA(_xlop.null, _xlfn.LET(_xlpm.list, _xlfn.TOCOL({1,2,3,4,5,6,7,8,9}), _xlpm.output, _xlfn.BYROW(_xlpm.list, _xlfn.LAMBDA(_xlpm.x, LOG(1 + (1 / MOD(_xlpm.x, 10))))), _xlpm.output))</definedName>
    <definedName name="BENFORD_PROBABILITY">_xlfn.LAMBDA(_xlpm.input, _xlfn.LET(_xlpm.output, IF(_xlpm.input &gt;= 1, LOG(1 + (1 / MOD(VALUE(LEFT(_xlpm.input, 1)), 10))), "#VALUE!"), _xlpm.output))</definedName>
    <definedName name="BESTFIT">_xlfn.LAMBDA(_xlpm.input, _xlfn.LET(_xlpm.list, {2,4,8,16,32}, _xlpm.prec, 1, _xlpm.inch_mant, MOD(_xlpm.input, 1), _xlpm.result, TEXT(_xlpm.inch_mant, "?/32"), _xlpm.test, VALUE(_xlfn.TEXTAFTER(_xlpm.result, "/")), _xlpm.denom, _xlfn.XLOOKUP(_xlpm.test, _xlpm.list, _xlpm.list, , -1), _xlpm.inch, QUOTIENT(_xlpm.input, 1), _xlpm.inch_numer, TRUNC(_xlpm.inch_mant * _xlpm.denom), _xlpm.comfact, GCD(_xlpm.inch_numer, _xlpm.denom), _xlpm.numerfinal, _xlpm.inch_numer / _xlpm.comfact, _xlpm.denomfinal, _xlpm.denom / _xlpm.comfact, _xlpm.check, MOD(_xlpm.inch_numer, _xlpm.denom), _xlpm.frac_inch, IF(_xlpm.check &lt;&gt; 0, _xlpm.numerfinal &amp; "/" &amp; _xlpm.denomfinal, ""), _xlpm.output, IF(OR(_xlpm.inch_numer = 0, _xlpm.test = 1), _xlpm.inch &amp; CHAR(34), IF(_xlpm.inch &lt;&gt; 0, _xlpm.inch &amp; "-" &amp; _xlpm.frac_inch &amp; CHAR(34), _xlpm.frac_inch &amp; CHAR(34))), _xlpm.output))</definedName>
    <definedName name="BRACKETS_ARRAY">_xlfn.LAMBDA(_xlpm.LookupArray,_xlpm.ReturnArray,_xlop.mode, _xlfn.LET(_xlpm.mode, IF(OR(_xlfn.ISOMITTED(_xlpm.mode), _xlpm.mode &gt; 2), 0, _xlpm.mode), _xlpm.Avg, AVERAGE(_xlpm.LookupArray), _xlpm.Least, MAX(_xlfn._xlws.FILTER(_xlpm.LookupArray, _xlpm.LookupArray &lt; _xlpm.Avg)), _xlpm.Most, MIN(_xlfn._xlws.FILTER(_xlpm.LookupArray, _xlpm.LookupArray &gt; _xlpm.Avg)), _xlpm.Least_index, _xlfn.XLOOKUP(_xlpm.Least, _xlpm.LookupArray, _xlpm.ReturnArray), _xlpm.Most_index, _xlfn.XLOOKUP(_xlpm.Most, _xlpm.LookupArray, _xlpm.ReturnArray), _xlpm.list, _xlfn.TEXTJOIN(" ", , _xlpm.Least_index, _xlpm.Avg, _xlpm.Most_index), _xlpm.output, _xlfn.SWITCH(_xlpm.mode, 0, _xlfn.TOCOL(_xlfn.TEXTSPLIT(_xlpm.list, " ")), 1, _xlfn.TOROW(_xlfn.TEXTSPLIT(_xlpm.list, " ")), 2, _xlfn.CONCAT("(", _xlfn.TEXTJOIN(" : ", , FIXED(_xlpm.Least, 3), FIXED(_xlpm.Avg, 3), FIXED(_xlpm.Most, 3)), ")")), _xlpm.output))</definedName>
    <definedName name="BRACKETS_TARGET">_xlfn.LAMBDA(_xlpm.TestArray,_xlpm.Target,_xlop.incl,_xlop.mode,_xlop.decprec, _xlfn.LET(_xlpm.decprec, IF(_xlfn.ISOMITTED(_xlpm.decprec), 3, _xlpm.decprec), _xlpm.mode, IF(OR(_xlfn.ISOMITTED(_xlpm.mode), _xlpm.mode &gt; 2), 0, _xlpm.mode), _xlpm.incl, IF(OR(_xlfn.ISOMITTED(_xlpm.incl), _xlpm.incl &gt; 1), 0, _xlpm.incl), _xlpm.Least, MAX(IF(_xlpm.TestArray &lt; _xlpm.Target, _xlpm.TestArray, "")), _xlpm.Most, MIN(IF(_xlpm.TestArray &gt; _xlpm.Target, _xlpm.TestArray, "")), _xlpm.list, IF(_xlpm.incl = 0, _xlfn.TEXTJOIN(" ", , ROUND(_xlpm.Least, _xlpm.decprec), ROUND(_xlpm.Target, _xlpm.decprec), ROUND(_xlpm.Most, _xlpm.decprec)), _xlfn.TEXTJOIN(" ", , ROUND(_xlpm.Least, _xlpm.decprec), ROUND(_xlpm.Most, _xlpm.decprec))), _xlpm.output, _xlfn.SWITCH(_xlpm.mode, 0, _xlfn.TOCOL(VALUE(_xlfn.TEXTSPLIT(_xlpm.list, " "))), 1, _xlfn.TOROW(VALUE(_xlfn.TEXTSPLIT(_xlpm.list, " "))), 2, _xlfn.CONCAT("(", _xlfn.TEXTJOIN(" : ", , FIXED(_xlpm.Least, _xlpm.decprec), FIXED(_xlpm.Target, _xlpm.decprec), FIXED(_xlpm.Most, 3)), ")")), _xlpm.output))</definedName>
    <definedName name="CHARS_BETWEEN">_xlfn.LAMBDA(_xlpm.input,_xlpm.delim1,_xlop.delim2, _xlfn.LET(_xlpm.delim2, IF(_xlfn.ISOMITTED(_xlpm.delim2), _xlpm.delim1, _xlpm.delim2), _xlpm.result, _xlfn.TEXTBEFORE(_xlfn.TEXTAFTER(_xlpm.input, _xlpm.delim1), _xlpm.delim2), _xlpm.output, IF(ISNA(_xlpm.result), "#DELIM!", _xlpm.result), _xlpm.output))</definedName>
    <definedName name="CHOOSERAND">_xlfn.LAMBDA(_xlpm.array,_xlop.rows, _xlfn.MAKEARRAY(IFOMITTED(_xlpm.rows, 1), 1, _xlfn.LAMBDA(_xlpm.a,_xlpm.b, _xlfn.LET(_xlpm.arrayLen, COUNTA(_xlpm.array), _xlpm.randIndex, RANDBETWEEN(1, _xlpm.arrayLen), _xlpm.value, INDEX(_xlpm.array, _xlpm.randIndex), _xlpm.value))))</definedName>
    <definedName name="CONTAINS">_xlfn.LAMBDA(_xlpm.array,_xlpm.find,_xlop.position,_xlop.caseSensitive, _xlfn.LET(_xlpm.position, IF(OR(_xlfn.ISOMITTED(_xlpm.position), _xlpm.position &gt; 2, _xlpm.position &lt; 0), 0, _xlpm.position), _xlpm.caseSensitive, IF(OR(_xlfn.ISOMITTED(_xlpm.caseSensitive), _xlpm.caseSensitive &gt; 1, _xlpm.caseSensitive &lt; 0), 0, _xlpm.caseSensitive), _xlpm.pattern, _xlfn.SWITCH(_xlpm.position, 0, _xlpm.find, 1, _xlpm.find &amp; "*", 2, "*" &amp; _xlpm.find), _xlpm.filtered, IF(_xlpm.caseSensitive = 0, _xlfn._xlws.FILTER(_xlpm.array, ISNUMBER(SEARCH(_xlpm.pattern, _xlpm.array))), _xlfn._xlws.FILTER(_xlpm.array, ISNUMBER(FIND(_xlpm.pattern, _xlpm.array)))), IFERROR(_xlpm.filtered, "None")))</definedName>
    <definedName name="COPY_REVERSE">_xlfn.LAMBDA(_xlpm.range,_xlop.mode, _xlfn.LET(_xlpm.mode, IF(OR(_xlfn.ISOMITTED(_xlpm.mode), _xlpm.mode &gt; 1), 0, _xlpm.mode), _xlpm.listlen, IF(_xlpm.mode = 0, COUNTA(_xlpm.range), COUNTA(_xlpm.range) - 1), _xlpm.reversed, INDEX(_xlpm.range, _xlfn.SEQUENCE(_xlpm.listlen, , _xlpm.listlen, -1)), _xlpm.reversed))</definedName>
    <definedName name="COUNT_INSTANCE">_xlfn.LAMBDA(_xlpm.input,_xlpm.Target, _xlfn.LET(_xlpm.Target, IF(LEN(_xlpm.Target) &gt; 1, LEFT(_xlpm.Target, 1), _xlpm.Target), _xlpm.output, SUM(--ISNUMBER(SEARCH(MID(_xlpm.input, _xlfn.SEQUENCE(LEN(_xlpm.input)), 1), _xlpm.Target))), _xlpm.output))</definedName>
    <definedName name="COUNTEACH">_xlfn.LAMBDA(_xlpm.range, _xlfn.LET(_xlpm.test, COLUMNS(_xlpm.range), _xlpm.count_list, _xlfn._xlws.SORT(_xlfn.UNIQUE(_xlfn.BYROW(_xlpm.range, _xlfn.LAMBDA(_xlpm.x, _xlpm.x &amp; ": " &amp; COUNTIF(_xlpm.range, _xlpm.x))))), _xlpm.count_list))</definedName>
    <definedName name="COUNTWORDS">_xlfn.LAMBDA(_xlpm.text, _xlfn.LET(_xlpm.Trimmedtext, TRIM(_xlpm.text), _xlpm.TrimmedtextLength, LEN(_xlpm.Trimmedtext), _xlpm.WhiteSpaceSubstitution, SUBSTITUTE(_xlpm.Trimmedtext, " ", ""), _xlpm.TextLengthNoSpaces, LEN(_xlpm.WhiteSpaceSubstitution), _xlpm.TrimmedtextLength - _xlpm.TextLengthNoSpaces + 1))</definedName>
    <definedName name="D_N_D">_xlfn.LAMBDA(_xlop.dice,_xlop.kind, _xlfn.LET(_xlpm.dice, IF(_xlfn.ISOMITTED(_xlpm.dice), 3, _xlpm.dice), _xlpm.kind, IF(_xlfn.ISOMITTED(_xlpm.kind), 6, _xlpm.kind), _xlpm.nums, _xlfn.MAKEARRAY(1, _xlpm.dice, _xlfn.LAMBDA(_xlpm.r,_xlpm.c, RANDBETWEEN(1, _xlpm.kind))), _xlpm.nums))</definedName>
    <definedName name="DATE_BPTOCE">_xlfn.LAMBDA(_xlpm.input, -_xlpm.input + 1950)</definedName>
    <definedName name="DATE_CETOBP">_xlfn.LAMBDA(_xlpm.input, 1950 - _xlpm.input)</definedName>
    <definedName name="DATE_FROMTEXT">_xlfn.LAMBDA(_xlpm.input, _xlfn.LET(_xlpm.suffix, UPPER(_xlfn.IFS(ISNUMBER(SEARCH("B",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LEN(_xlpm.input)))), _xlpm.SuffCheck, _xlfn.SWITCH(_xlpm.suffix, "BC", 1, "BCE", 1, "AD", 2, "CE", 2, "BP", 3, "HE", 4, "BHE", 5), _xlpm.value, VALUE(_xlfn.TEXTBEFORE(_xlpm.input, _xlpm.suffix)), _xlpm.BPcheck, 1950 - _xlpm.value, _xlpm.output, _xlfn.SWITCH(TRUE(), AND(_xlpm.SuffCheck = 1, _xlpm.value = 0), "#VALUE!", AND(_xlpm.SuffCheck = 1, _xlpm.value &gt; 0), 0 - _xlpm.value, AND(_xlpm.SuffCheck = 2, _xlpm.value = 0), "#VALUE!", AND(_xlpm.SuffCheck = 2, _xlpm.value &lt;&gt; 0), _xlpm.value, AND(_xlpm.SuffCheck = 3, _xlpm.value = 0), 1950 - _xlpm.value - IF(_xlpm.value &lt; 0, 1, 0), AND(_xlpm.SuffCheck = 3, _xlpm.value &gt; 0), 1950 - _xlpm.value, AND(_xlpm.SuffCheck = 4, _xlpm.value &gt; 0), -10000 + _xlpm.value, AND(_xlpm.SuffCheck = 5, _xlpm.value &gt; 0), -10000 - _xlpm.value), _xlpm.output))</definedName>
    <definedName name="DATE_GETVAL">_xlfn.LAMBDA(_xlpm.input, _xlfn.LET(_xlpm.suffix, UPPER(_xlfn.SWITCH(TRUE(), ISNUMBER(SEARCH("B", _xlpm.input)), MID(_xlpm.input, SEARCH("B", _xlpm.input), LEN(_xlpm.input)), ISNUMBER(SEARCH("C", _xlpm.input)), MID(_xlpm.input, SEARCH("C", _xlpm.input), LEN(_xlpm.input)), ISNUMBER(SEARCH("A", _xlpm.input)), MID(_xlpm.input, SEARCH("A", _xlpm.input), LEN(_xlpm.input)), ISNUMBER(SEARCH("H", _xlpm.input)), MID(_xlpm.input, SEARCH("H", _xlpm.input), LEN(_xlpm.input)), "")), _xlpm.SuffCheck, _xlfn.SWITCH(_xlpm.suffix, "BC", 1, "BCE", 1, "AD", 2, "CE", 2, "BP", 3, "HE", 4, "BHE", 5), _xlpm.value, VALUE(_xlfn.TEXTBEFORE(_xlpm.input, _xlpm.suffix)), _xlpm.value))</definedName>
    <definedName name="DATE_TO_HE">_xlfn.LAMBDA(_xlpm.input, IF(_xlpm.input &lt; 0, _xlpm.input + 10001, _xlpm.input + 10000))</definedName>
    <definedName name="DATE_TOTEXT">_xlfn.LAMBDA(_xlpm.input,_xlop.mode, _xlfn.LET(_xlpm.mode, IF(OR(_xlfn.ISOMITTED(_xlpm.mode), _xlpm.mode &gt; 3), 0, _xlpm.mode), _xlpm.output, _xlfn.SWITCH(_xlpm.mode, 0, _xlfn.IFS(_xlpm.input &lt; 0, TEXT(ABS(_xlpm.input), "0") &amp; IF(_xlpm.input &lt;&gt; 0, " BCE", ""), _xlpm.input = 0, "#VALUE!", TRUE, TEXT(ABS(_xlpm.input), "0") &amp; " CE"), 1, _xlfn.IFS(_xlpm.input &lt; 0, TEXT(ABS(_xlpm.input), "0") &amp; IF(_xlpm.input &lt;&gt; 0, " BC", ""), _xlpm.input = 0, "#VALUE!", TRUE, TEXT(ABS(_xlpm.input), "0") &amp; " AD"), 2, TEXT(1950 - _xlpm.input, "0") &amp; IF(_xlpm.input &lt;&gt; 0, " BP", ""), 3, TEXT(YEAR(TODAY()) - _xlpm.input, "0") &amp; IF(_xlpm.input &lt;&gt; 0, " YA", "")), _xlpm.output))</definedName>
    <definedName name="DAY.EPH.H">_xlfn.LAMBDA(86400 / 3600)</definedName>
    <definedName name="DAY.EPH.M">_xlfn.LAMBDA(1440)</definedName>
    <definedName name="DAY.EPH.S">_xlfn.LAMBDA(86400)</definedName>
    <definedName name="DAY.SID.H">_xlfn.LAMBDA(86164.0905308329 / 3600)</definedName>
    <definedName name="DAY.SID.S">_xlfn.LAMBDA(86164.0905308329)</definedName>
    <definedName name="DAY.STL.H">_xlfn.LAMBDA(86164.098903691 / 3600)</definedName>
    <definedName name="DAY.STL.S">_xlfn.LAMBDA(86164.098903691)</definedName>
    <definedName name="DAYS_DHMS">_xlfn.LAMBDA(_xlpm.DecimalDays,_xlop.Precision, _xlfn.LET(_xlpm.decprec, IF(_xlfn.ISOMITTED(_xlpm.Precision), 3, _xlpm.Precision), _xlpm.Hours, MOD(_xlpm.DecimalDays * 24, 24), _xlpm.Minutes, MOD(_xlpm.Hours * 60, 60), _xlpm.Seconds, MOD(_xlpm.Minutes * 60, 60), TRUNC(_xlpm.DecimalDays) &amp; "d " &amp; TRUNC(_xlpm.Hours) &amp; "h " &amp; TRUNC(_xlpm.Minutes) &amp; "m " &amp; FIXED(_xlpm.Seconds, _xlpm.decprec) &amp; "s"))</definedName>
    <definedName name="DAYS_YDHMS">_xlfn.LAMBDA(_xlpm.DecimalDays,_xlop.Type,_xlop.Precision, _xlfn.LET(_xlpm.year_len, _xlfn.SWITCH(_xlpm.Type, 0, 365, 1, 365.24219, 2, 365.25, 3, 365.256363004, 365), _xlpm.decprec, IF(_xlfn.ISOMITTED(_xlpm.Precision), 3, _xlpm.Precision), _xlpm.TotalYears, _xlpm.DecimalDays / _xlpm.year_len, _xlpm.Years, TRUNC(_xlpm.TotalYears), _xlpm.FracYear, ROUND(_xlpm.TotalYears - _xlpm.Years, 15), _xlpm.RemDays, ROUND(_xlpm.FracYear * _xlpm.year_len, 10), _xlpm.Days, TRUNC(_xlpm.RemDays, 0), _xlpm.FracDays, ROUND(_xlpm.RemDays - _xlpm.Days, 10), _xlpm.TotalHours, _xlpm.FracDays * 24, _xlpm.Hours, TRUNC(_xlpm.TotalHours, 0), _xlpm.FracHours, _xlpm.TotalHours - _xlpm.Hours, _xlpm.TotalMinutes, _xlpm.FracHours * 60, _xlpm.Minutes, QUOTIENT(_xlpm.TotalMinutes, 1), _xlpm.FracMinutes, _xlpm.TotalMinutes - _xlpm.Minutes, _xlpm.Seconds, _xlpm.FracMinutes * 60, _xlpm.Years &amp; "y " &amp; _xlpm.Days &amp; "d " &amp; _xlpm.Hours &amp; "h " &amp; _xlpm.Minutes &amp; "m " &amp; FIXED(_xlpm.Seconds, _xlpm.decprec) &amp; "s"))</definedName>
    <definedName name="DEG_DEC_DMS">_xlfn.LAMBDA(_xlpm.DecimalDegrees, _xlfn.LET(_xlpm.Deg, TRUNC(_xlpm.DecimalDegrees), _xlpm.FracPortion, ABS(_xlpm.DecimalDegrees - _xlpm.Deg), _xlpm.Minutes, _xlpm.FracPortion * 60, _xlpm.Min_part, TRUNC(_xlpm.Minutes) / 100, _xlpm.IntMin, INT(_xlpm.Minutes), _xlpm.FracMin, ABS(_xlpm.Minutes - _xlpm.IntMin), _xlpm.Seconds, _xlpm.FracMin * 60, _xlpm.sec_part, _xlpm.Seconds / 10000, _xlpm.output, _xlpm.Deg + _xlpm.Min_part + _xlpm.sec_part, FIXED(_xlpm.output, 7)))</definedName>
    <definedName name="DEG_DMS">_xlfn.LAMBDA(_xlpm.DecimalDegrees,_xlop.Precision, _xlfn.LET(_xlpm.decprec, IF(_xlfn.ISOMITTED(_xlpm.Precision), 3, _xlpm.Precision), _xlpm.Deg, TRUNC(_xlpm.DecimalDegrees), _xlpm.FracPortion, ABS(_xlpm.DecimalDegrees - _xlpm.Deg), _xlpm.Minutes, _xlpm.FracPortion * 60, _xlpm.IntMin, INT(_xlpm.Minutes), _xlpm.FracMin, ABS(_xlpm.Minutes - _xlpm.IntMin), _xlpm.Seconds, _xlpm.FracMin * 60, _xlpm.Deg &amp; "° " &amp; _xlpm.IntMin &amp; CHAR(39) &amp; CHAR(32) &amp; FIXED(_xlpm.Seconds, _xlpm.decprec) &amp; CHAR(34)))</definedName>
    <definedName name="DEG_DMS_DEC">_xlfn.LAMBDA(_xlpm.input, _xlfn.LET(_xlpm.degrees, TRUNC(_xlpm.input), _xlpm.Minutes, TRUNC((_xlpm.input - _xlpm.degrees) * 100), _xlpm.fractional_seconds, ((_xlpm.input * 100) - TRUNC(_xlpm.input * 100)) / 0.6, _xlpm.result, _xlpm.degrees + ((_xlpm.Minutes + _xlpm.fractional_seconds) / 60), _xlpm.result))</definedName>
    <definedName name="DND">_xlfn.LAMBDA(_xlop.dice,_xlop.kind, _xlfn.LET(_xlpm.dice, IF(_xlfn.ISOMITTED(_xlpm.dice), 3, _xlpm.dice), _xlpm.kind, IF(_xlfn.ISOMITTED(_xlpm.kind), 6, _xlpm.kind), _xlpm.nums, _xlfn.MAKEARRAY(1, _xlpm.dice, _xlfn.LAMBDA(_xlpm.r,_xlpm.c, RANDBETWEEN(1, _xlpm.kind))), SUM(_xlpm.nums)))</definedName>
    <definedName name="DROPCOL">_xlfn.LAMBDA(_xlpm.array,_xlpm.column, _xlfn.MAKEARRAY(ROWS(_xlpm.array), COLUMNS(_xlpm.array) - 1, _xlfn.LAMBDA(_xlpm.i,_xlpm.j, INDEX(_xlpm.array, _xlpm.i, IF(_xlpm.j &lt; _xlpm.column, _xlpm.j, _xlpm.j + 1)))))</definedName>
    <definedName name="DUPELIST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_xlfn.BYROW(_xlpm.output, _xlfn.LAMBDA(_xlpm.x, MATCH(_xlpm.x, _xlpm.output) &amp; " " &amp; _xlpm.x))))</definedName>
    <definedName name="EARTH.D.G">_xlfn.LAMBDA(5.5134)</definedName>
    <definedName name="EARTH.ECC">_xlfn.LAMBDA(0.0167086)</definedName>
    <definedName name="EARTH.M.G">_xlfn.LAMBDA(5.972E+27)</definedName>
    <definedName name="EARTH.M.KG">_xlfn.LAMBDA(EARTH.M.G() / 1000)</definedName>
    <definedName name="EARTH.M.S">_xlfn.LAMBDA(1 / SUN.M.T())</definedName>
    <definedName name="EARTH.OBL">_xlfn.LAMBDA(23.4392811)</definedName>
    <definedName name="EARTH.R.KM">_xlfn.LAMBDA(6371)</definedName>
    <definedName name="ELLIPSE_ECC">_xlfn.LAMBDA(_xlpm.major,_xlpm.minor, _xlfn.LET(_xlpm.a, IF(_xlpm.major &lt; _xlpm.minor, _xlpm.minor, _xlpm.major), _xlpm.b, IF(_xlpm.a = _xlpm.minor, _xlpm.major, _xlpm.minor), _xlpm.ecc, SQRT(1 - (_xlpm.b / _xlpm.a) ^ 2), _xlpm.ecc))</definedName>
    <definedName name="ELLIPSE_SMINOR">_xlfn.LAMBDA(_xlpm.major,_xlpm.eccentricity, _xlfn.LET(_xlpm.minor, _xlpm.major * SQRT(1 - POWER(_xlpm.eccentricity, 2)), _xlpm.minor))</definedName>
    <definedName name="ENGNOTE">_xlfn.LAMBDA(_xlpm.input,_xlop.prec, _xlfn.LET(_xlpm.punct, IFERROR(SEARCH(".", _xlpm.input), 0), _xlpm.loc, IF(_xlpm.punct = 0, 0, LEN(_xlpm.input) - _xlpm.punct), _xlpm.prec, IF(_xlfn.ISOMITTED(_xlpm.prec), 2, _xlpm.prec), _xlpm.power, TRUNC(LOG10(_xlpm.input)), _xlpm.divisor, MAX(0, _xlpm.power - MOD(_xlpm.power, 3)), _xlpm.adjust, 10 ^ _xlpm.divisor, _xlpm.value, ROUND(_xlpm.input / _xlpm.adjust, _xlpm.prec), _xlpm.suff, "E+" &amp; TEXT(_xlpm.divisor, REPT("0", 2)), _xlpm.output, _xlfn.TEXTJOIN("", , FIXED(_xlpm.value, _xlpm.prec), _xlpm.suff), _xlpm.output))</definedName>
    <definedName name="FACTORS">_xlfn.LAMBDA(_xlpm.input, _xlfn.LET(_xlpm.x, _xlfn.SEQUENCE(_xlpm.input), _xlpm.y, IF(MOD(_xlpm.input, _xlpm.x) = 0, _xlpm.x, ""), _xlfn.TEXTJOIN(",", TRUE, _xlpm.y)))</definedName>
    <definedName name="FILTERWILD">_xlfn.LAMBDA(_xlpm.array,_xlpm.find,_xlop.mode, _xlfn.LET(_xlpm.mode, IF(OR(_xlfn.ISOMITTED(_xlpm.mode), _xlpm.mode &gt; 2), 0, _xlpm.mode), _xlpm.output, IFERROR(_xlfn.SWITCH(_xlpm.mode, 0, _xlfn._xlws.FILTER(_xlpm.array, ISNUMBER(SEARCH(_xlpm.find, _xlpm.array))), 2, _xlfn._xlws.FILTER(_xlpm.array, (_xlfn.BYROW(_xlpm.array, _xlfn.LAMBDA(_xlpm.x, _xlfn.XLOOKUP("*" &amp; _xlpm.find, _xlpm.x, _xlpm.x, "", 2))) &lt;&gt; "")), 1, _xlfn._xlws.FILTER(_xlpm.array, (_xlfn.BYROW(_xlpm.array, _xlfn.LAMBDA(_xlpm.x, _xlfn.XLOOKUP(_xlpm.find &amp; "*", _xlpm.x, _xlpm.x, "", 2))) &lt;&gt; ""))), "None"), _xlpm.output))</definedName>
    <definedName name="FIND_PCT">_xlfn.LAMBDA(_xlpm.Target,_xlpm.max,_xlpm.min,_xlop.prec, _xlfn.LET(_xlpm.prec, IF((_xlfn.ISOMITTED(_xlpm.prec)) + (_xlpm.prec &lt; 0), 3, _xlpm.prec), _xlpm.result, ROUND((_xlpm.Target - _xlpm.min) / (_xlpm.max - _xlpm.min), _xlpm.prec), _xlpm.result))</definedName>
    <definedName name="FOOT_INCH">_xlfn.LAMBDA(_xlpm.input,_xlop.style,_xlop.denom,_xlop.Precision, _xlfn.LET(_xlpm.style, IF((_xlfn.ISOMITTED(_xlpm.style)) * (_xlpm.style &gt; 1), 0, _xlpm.style), _xlpm.denom, IF(_xlfn.ISOMITTED(_xlpm.denom), 16, TRUNC(_xlpm.denom)), _xlpm.Precision, IF(_xlfn.ISOMITTED(_xlpm.Precision), 3, _xlpm.Precision), _xlpm.feet, QUOTIENT(_xlpm.input, 1), _xlpm.feet_mant, MOD(_xlpm.input, 1), _xlpm.decimal_inch, ROUND(_xlpm.feet_mant * 12, _xlpm.Precision), _xlpm.inch_int, TRUNC(_xlpm.decimal_inch), _xlpm.inch_dec, _xlpm.decimal_inch - _xlpm.inch_int, _xlpm.inch_numer, TRUNC(_xlpm.inch_dec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_xlpm.int_inch, IF(_xlpm.inch_int = 0, "", _xlpm.inch_int), _xlpm.combo, _xlfn.IFS(AND(_xlpm.int_inch = "", _xlpm.frac_inch = ""), _xlpm.feet &amp; CHAR(39), AND(_xlpm.int_inch = "", _xlpm.frac_inch &lt;&gt; ""), _xlpm.feet &amp; CHAR(39) &amp; CHAR(32) &amp; _xlpm.int_inch &amp; _xlpm.frac_inch &amp; CHAR(34), AND(_xlpm.int_inch &lt;&gt; "", _xlpm.frac_inch &lt;&gt; ""), _xlpm.feet &amp; CHAR(39) &amp; CHAR(32) &amp; _xlpm.int_inch &amp; "-" &amp; _xlpm.frac_inch &amp; CHAR(34), TRUE, _xlpm.feet &amp; CHAR(39) &amp; CHAR(32) &amp; _xlpm.int_inch &amp; CHAR(34)), _xlpm.standard, _xlpm.feet &amp; CHAR(39) &amp; CHAR(32) &amp; _xlpm.decimal_inch &amp; CHAR(34), _xlpm.output, _xlfn.SWITCH(_xlpm.style, 0, _xlpm.standard, 1, _xlpm.combo), _xlpm.output))</definedName>
    <definedName name="FOOTINCH">_xlfn.LAMBDA(_xlpm.input,_xlop.Precision, _xlfn.LET(_xlpm.Precision, IF(_xlfn.ISOMITTED(_xlpm.Precision), 3, _xlpm.Precision), _xlpm.feet, QUOTIENT(_xlpm.input, 1), _xlpm.mant, MOD(_xlpm.input, 1), _xlpm.decimal_inch, ROUND(_xlpm.mant * 12, _xlpm.Precision), _xlpm.feet &amp; CHAR(39) &amp; CHAR(32) &amp; _xlpm.decimal_inch &amp; CHAR(34)))</definedName>
    <definedName name="FORM_TEXT">_xlfn.LAMBDA(_xlpm.input,_xlop.mode, _xlfn.LET(_xlpm.mode, IF(OR(_xlfn.ISOMITTED(_xlpm.mode), _xlpm.mode &gt; 1), 0, _xlpm.mode), _xlpm.f_text, _xlfn.FORMULATEXT(_xlpm.input), _xlpm.f_len, LEN(_xlpm.f_text) - 1, _xlpm.t_out, RIGHT(_xlpm.f_text, _xlpm.f_len), _xlpm.t_out_fin, SUBSTITUTE(_xlpm.t_out, "$", ""), _xlpm.cell_name, SUBSTITUTE(CELL("address", _xlpm.input), "$", ""), _xlpm.output, IF(_xlfn.ISFORMULA(_xlpm.input), _xlfn.CONCAT(_xlpm.cell_name, ":= ", _xlpm.t_out_fin), "#FORM!"), _xlpm.return, IF(_xlpm.mode = 0, _xlfn.TEXTAFTER(_xlfn.TEXTBEFORE(_xlpm.output, "("), " "), _xlpm.output), _xlpm.return))</definedName>
    <definedName name="FORMAT_AS_LIST">_xlfn.LAMBDA(_xlpm.range,_xlop.format,_xlop.style,_xlop.sort,_xlop.mode, _xlfn.LET(_xlpm.style, IF(OR(_xlfn.ISOMITTED(_xlpm.style), _xlpm.style &gt; 1), 0, _xlpm.style), _xlpm.format, IF(OR(_xlfn.ISOMITTED(_xlpm.format), _xlpm.format &gt; 1), 0, _xlpm.format), _xlpm.mode, IF(OR(_xlfn.ISOMITTED(_xlpm.mode), _xlpm.mode &gt; 1), 0, _xlpm.mode), _xlpm.sort, IF(OR(_xlfn.ISOMITTED(_xlpm.mode), _xlpm.sort &gt; 1), 0, _xlpm.sort), _xlpm.separator, IF(_xlpm.format = 0, ", ", "; "), _xlpm.list, _xlfn.SWITCH(_xlpm.mode, 0, _xlfn.TOCOL(_xlpm.range, 3), 1, _xlfn.UNIQUE(_xlfn.TOCOL(_xlpm.range, 3))), _xlpm.sorted, _xlfn.SWITCH(_xlpm.sort, 0, _xlpm.list, 1, _xlfn._xlws.SORT(_xlpm.list)), _xlpm.output, _xlfn.SWITCH(_xlpm.style, 0, "{" &amp; _xlfn.TEXTJOIN(_xlpm.separator, , _xlpm.sorted) &amp; "}", 1, _xlfn.TEXTJOIN(_xlpm.separator, , _xlpm.sorted)), _xlpm.output))</definedName>
    <definedName name="FORMTEXT">_xlfn.LAMBDA(_xlpm.input,_xlop.mode, _xlfn.LET(_xlpm.recpt, _xlfn.FORMULATEXT(_xlpm.input), _xlpm.mode, IF(OR(_xlfn.ISOMITTED(_xlpm.mode), _xlpm.mode &gt; 2), 0, _xlpm.mode), _xlpm.checkval, ISNUMBER(SEARCH("(", _xlpm.recpt)), _xlpm.cell_name, SUBSTITUTE(CELL("address", _xlpm.input), "$", ""), _xlpm.list, IF(NOT(_xlpm.checkval), _xlpm.recpt, _xlfn.TEXTSPLIT(_xlpm.recpt, ")")), _xlpm.result, IF(_xlpm.checkval, _xlfn.BYCOL(_xlpm.list, _xlfn.LAMBDA(_xlpm.x, _xlfn.TEXTBEFORE(_xlpm.x, "(", , , , ""))), _xlpm.list), _xlpm.collected, _xlfn.TEXTJOIN("", , INDEX(_xlpm.result, _xlfn.SEQUENCE(COUNTA(_xlpm.result)))), _xlpm.output, _xlfn.SWITCH(_xlpm.mode, 0, _xlpm.collected, 1, _xlfn.CONCAT(_xlpm.cell_name, ":= ", SUBSTITUTE(_xlpm.collected, "=", "")), 2, _xlfn.CONCAT(_xlpm.cell_name, ":= ", SUBSTITUTE(_xlpm.recpt, "=", ""))), _xlpm.output))</definedName>
    <definedName name="FRAC">_xlfn.LAMBDA(_xlpm.input,_xlop.Precision,_xlop.sign, _xlfn.LET(_xlpm.sign, IF(OR(_xlfn.ISOMITTED(_xlpm.sign), _xlpm.sign &gt; 1), 0, _xlpm.sign), _xlpm.Precision, IF(_xlfn.ISOMITTED(_xlpm.Precision), 3, _xlpm.Precision), _xlpm.dec_part, _xlfn.SWITCH(_xlpm.sign, 0, ABS(ROUND(_xlpm.input - TRUNC(_xlpm.input), _xlpm.Precision)), 1, ROUND(_xlpm.input - TRUNC(_xlpm.input), _xlpm.Precision), ), _xlpm.dec_part))</definedName>
    <definedName name="FRAC_DIV">_xlfn.LAMBDA(_xlpm.input, _xlfn.LET(_xlpm.numer, _xlfn.TEXTBEFORE(_xlpm.input, "/"), _xlpm.denom, _xlfn.TEXTAFTER(_xlpm.input, "/"), _xlpm.numer / _xlpm.denom))</definedName>
    <definedName name="GETCELL">_xlfn.LAMBDA(_xlpm.input, SUBSTITUTE(ADDRESS(ROW(_xlpm.input), COLUMN(_xlpm.input)), "$", ""))</definedName>
    <definedName name="GETCHARS">_xlfn.LAMBDA(_xlpm.input, _xlfn.LET(_xlpm.output, _xlfn.TEXTJOIN("", TRUE, IF(ISERROR(--MID(_xlpm.input, ROW(INDIRECT("1:" &amp; LEN(_xlpm.input))), 1)), MID(_xlpm.input, ROW(INDIRECT("1:" &amp; LEN(_xlpm.input))), 1), "")), _xlpm.return, IF(_xlpm.output = "", "#NONE!", _xlpm.output), _xlpm.return))</definedName>
    <definedName name="GETDIGITS">_xlfn.LAMBDA(_xlpm.input, _xlfn.LET(_xlpm.output, _xlfn.TEXTJOIN("", TRUE, IFERROR(--MID(_xlpm.input, ROW(INDIRECT("1:" &amp; LEN(_xlpm.input))), 1), "")), _xlpm.return, IF(_xlpm.output = "", "#NONE!", _xlpm.output), _xlpm.return))</definedName>
    <definedName name="GetPct" comment="min, num, max">_xlfn.LAMBDA(_xlpm.min,_xlpm.num,_xlpm.max,(_xlpm.max-_xlpm.num)/(_xlpm.max-_xlpm.min))</definedName>
    <definedName name="HASCAP">_xlfn.LAMBDA(_xlpm.word, _xlfn.LET(_xlpm.count, LEN(_xlpm.word), _xlpm.subword, RIGHT(_xlpm.word, _xlpm.count - 1), _xlpm.letter, LEFT(_xlpm.subword, 1), _xlpm.test, AND((CODE(_xlpm.letter) &gt;= 65), (CODE(_xlpm.letter) &lt;= 91)), IF(((_xlpm.test = FALSE) * (LEN(_xlpm.subword) - 1 &gt; 0)), HASCAP(_xlpm.subword), _xlpm.test)))</definedName>
    <definedName name="HEADERS_OUT">_xlfn.LAMBDA(_xlop.null, _xlfn.LET(_xlpm.headers, {"A";"B"}, _xlpm.list1, {"V";"W";"X";"Y";"Z"}, _xlpm.list2, {1;2;3;4;5}, _xlpm.outlist1, _xlfn.VSTACK(INDEX(_xlpm.headers, 1), _xlpm.list1), _xlpm.outlist2, _xlfn.VSTACK(INDEX(_xlpm.headers, 2), _xlpm.list2), CHOOSE({1,2}, _xlpm.outlist1, _xlpm.outlist2)))</definedName>
    <definedName name="HOUR.EPH.S">_xlfn.LAMBDA(3600)</definedName>
    <definedName name="HOURS_DECHMS">_xlfn.LAMBDA(_xlpm.DecimalHours, _xlfn.LET(_xlpm.Hours, TRUNC(_xlpm.DecimalHours), _xlpm.FracPortion, _xlpm.DecimalHours - _xlpm.Hours, _xlpm.Minutes, ABS(_xlpm.FracPortion * 60), _xlpm.IntMin, TRUNC(_xlpm.Minutes), _xlpm.FracMin, _xlpm.Minutes - TRUNC(_xlpm.IntMin), _xlpm.Seconds, _xlpm.FracMin * 60, _xlpm.Hours + TRUNC(_xlpm.Minutes) / 100 + _xlpm.Seconds / 10000))</definedName>
    <definedName name="HOURS_DHMS">_xlfn.LAMBDA(_xlpm.DecimalHours,_xlop.Precision, _xlfn.LET(_xlpm.Precision, IF(_xlfn.ISOMITTED(_xlpm.Precision), 3, _xlpm.Precision), _xlpm.TotalDays, _xlpm.DecimalHours / 24, _xlpm.Days, QUOTIENT(_xlpm.TotalDays, 1), _xlpm.FracHours, MOD(_xlpm.TotalDays, 1), _xlpm.Hours, QUOTIENT(_xlpm.FracHours * 24, 1), _xlpm.TotalMinutes, MOD(_xlpm.FracHours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HOURS_FROMDEC">_xlfn.LAMBDA(_xlpm.input, _xlfn.LET(_xlpm.mil_hour, TRUNC(_xlpm.input), _xlpm.hour, MOD(_xlpm.mil_hour, 24), _xlpm.conv_hour, IF(_xlpm.hour &gt; 12, _xlpm.hour - 12, _xlpm.hour), _xlpm.minute, ROUND((_xlpm.input - _xlpm.mil_hour) * 60, 0), _xlpm.suffix, IF(_xlpm.hour &lt; 12, " AM", " PM"), _xlpm.output, TEXT(_xlpm.conv_hour, "00") &amp; ":" &amp; TEXT(_xlpm.minute, "00") &amp; _xlpm.suffix, _xlpm.output))</definedName>
    <definedName name="HOURS_HMS">_xlfn.LAMBDA(_xlpm.DecimalHours,_xlop.Precision, _xlfn.LET(_xlpm.decprec, IF(_xlfn.ISOMITTED(_xlpm.Precision), 3, _xlpm.Precision), _xlpm.Hours, TRUNC(_xlpm.DecimalHours), _xlpm.Minutes, MOD(ABS(_xlpm.DecimalHours * 60), 60), _xlpm.Seconds, MOD(ABS(_xlpm.DecimalHours * 3600), 60), _xlpm.Hours &amp; "h " &amp; TRUNC(_xlpm.Minutes) &amp; "m " &amp; FIXED(_xlpm.Seconds, _xlpm.decprec) &amp; "s"))</definedName>
    <definedName name="HOURS_TODEC">_xlfn.LAMBDA(_xlpm.input, _xlfn.LET(_xlpm.test, ISTEXT(_xlpm.input), _xlpm.conv, TEXT(_xlpm.input, "HH:MM"), _xlpm.hour, _xlfn.TEXTBEFORE(_xlpm.conv, ":"), _xlpm.min, LEFT(_xlfn.TEXTAFTER(_xlpm.conv, ":"), 2), _xlpm.Minutes, _xlpm.min / 60, _xlpm.output, _xlpm.hour + _xlpm.Minutes, _xlpm.output))</definedName>
    <definedName name="HOURS_YDHMS">_xlfn.LAMBDA(_xlpm.DecimalHours,_xlop.Type,_xlop.Precision, _xlfn.LET(_xlpm.year_len, _xlfn.SWITCH(_xlpm.Type, 0, 8760, 1, 8765.81256, 2, 8766, 3, 8766.152712096, 8760), _xlpm.Precision, IF(_xlfn.ISOMITTED(_xlpm.Precision), 3, _xlpm.Precision), _xlpm.TotalYears, _xlpm.DecimalHours / _xlpm.year_len, _xlpm.Years, TRUNC(_xlpm.TotalYears), _xlpm.FracYears, _xlpm.TotalYears - _xlpm.Years, _xlpm.TotalDays, _xlpm.FracYears * 365, _xlpm.Days, TRUNC(_xlpm.TotalDays), _xlpm.FracDays, _xlpm.TotalDays - _xlpm.Days, _xlpm.TotalHours, _xlpm.FracDays * 24, _xlpm.FracHours, MOD(_xlpm.TotalDays, 1), _xlpm.Hours, QUOTIENT(_xlpm.FracHours * 24, 1), _xlpm.TotalMinutes, MOD(_xlpm.FracHours * 24, 1), _xlpm.Minutes, QUOTIENT(_xlpm.TotalMinutes * 60, 1), _xlpm.totalseconds, MOD(_xlpm.TotalMinutes * 60, 1), _xlpm.Seconds, MOD(_xlpm.TotalDays * 86400, 60), _xlpm.Years &amp; "y " &amp; _xlpm.Days &amp; "d " &amp; _xlpm.Hours &amp; "h " &amp; _xlpm.Minutes &amp; "m " &amp; FIXED(_xlpm.Seconds, _xlpm.Precision) &amp; "s"))</definedName>
    <definedName name="IFBLANK">_xlfn.LAMBDA(_xlpm.value,_xlpm.value_if_blank, IF(ISBLANK(_xlpm.value), _xlpm.value_if_blank, _xlpm.value))</definedName>
    <definedName name="IFOMITTED">_xlfn.LAMBDA(_xlpm.value,_xlpm.value_if_omitted, IF(_xlfn.ISOMITTED(_xlpm.value), _xlpm.value_if_omitted, _xlpm.value))</definedName>
    <definedName name="INCH_CONVERT">_xlfn.LAMBDA(_xlpm.input,_xlop.denom, _xlfn.LET(_xlpm.denom, IF(_xlfn.ISOMITTED(_xlpm.denom), 32, TRUNC(_xlpm.denom)), _xlpm.inch, QUOTIENT(_xlpm.input, 1), _xlpm.inch_mant, MOD(_xlpm.input, 1), _xlpm.inch_numer, TRUNC(_xlpm.inch_mant * _xlpm.denom), _xlpm.comfact, GCD(_xlpm.inch_numer, _xlpm.denom), _xlpm.numerfinal, _xlpm.inch_numer / _xlpm.comfact, _xlpm.denomfinal, _xlpm.denom / _xlpm.comfact, _xlpm.test, MOD(_xlpm.inch_numer, _xlpm.denom), _xlpm.frac_inch, IF(_xlpm.test &lt;&gt; 0, _xlpm.numerfinal &amp; "/" &amp; _xlpm.denomfinal, ""), _xlpm.output, IF(_xlpm.inch_numer = 0, _xlpm.inch &amp; CHAR(34), _xlpm.inch &amp; "-" &amp; _xlpm.frac_inch &amp; CHAR(34)), _xlpm.output))</definedName>
    <definedName name="INCRDECR">_xlfn.LAMBDA(_xlpm.input,_xlpm.interval, _xlpm.input + _xlpm.interval)</definedName>
    <definedName name="INTMANT">_xlfn.LAMBDA(_xlpm.input,_xlop.mode,_xlop.sign,_xlop.decimals, _xlfn.LET(_xlpm.mode, IF(OR(_xlfn.ISOMITTED(_xlpm.mode), _xlpm.mode &gt; 1), 0, _xlpm.mode), _xlpm.sign, IF(OR(_xlfn.ISOMITTED(_xlpm.sign), _xlpm.sign &gt; 1), 0, _xlpm.sign), _xlpm.decimals, IF(OR(_xlfn.ISOMITTED(_xlpm.decimals), _xlpm.decimals = 0), 3, _xlpm.decimals), _xlpm.int_part, QUOTIENT(_xlpm.input, 1), _xlpm.dec_part, _xlfn.SWITCH(_xlpm.sign, 0, ABS(ROUND(_xlpm.input - TRUNC(_xlpm.input), _xlpm.decimals)), 1, ROUND(_xlpm.input - TRUNC(_xlpm.input), _xlpm.decimals), ), _xlpm.list, _xlfn.TEXTJOIN(" ", , _xlpm.int_part, _xlpm.dec_part), _xlpm.output, _xlfn.SWITCH(_xlpm.mode, 0, _xlfn.TOROW(VALUE(_xlfn.TEXTSPLIT(_xlpm.list, " "))), 1, _xlfn.TOCOL(VALUE(_xlfn.TEXTSPLIT(_xlpm.list, " ")))), _xlpm.output))</definedName>
    <definedName name="ISIN">_xlfn.LAMBDA(_xlpm.Target,_xlpm.TestArray, _xlfn.LET(_xlpm.return, IF(ISNA(_xlfn.XLOOKUP(_xlpm.Target, _xlpm.TestArray, _xlpm.TestArray)), "FALSE", "TRUE"), _xlpm.return))</definedName>
    <definedName name="LETTER_GRADE">_xlfn.LAMBDA(_xlpm.input,_xlop.mode, _xlfn.LET(_xlpm.mode, IF(OR(_xlfn.ISOMITTED(_xlpm.mode), _xlpm.mode &gt; 2), 0, _xlpm.mode), _xlpm.value, _xlpm.input * 100, _xlpm.letters, {"A","B","C","D","F"}, _xlpm.minima, _xlfn.SWITCH(_xlpm.mode, 0, {90,80,70,60,0}, 1, {80,60,40,20,0}, 2, {79,59,39,19,0}), _xlpm.grade, _xlfn.XLOOKUP(_xlpm.value, _xlpm.minima, _xlpm.letters, "-", -1), _xlpm.grade))</definedName>
    <definedName name="LIGHT.M">_xlfn.LAMBDA(299792458)</definedName>
    <definedName name="LIGHTYR.AU">_xlfn.LAMBDA(LIGHTYR.M() / AU.M())</definedName>
    <definedName name="LIGHTYR.M">_xlfn.LAMBDA(9460700000000000)</definedName>
    <definedName name="LIST_DIVISORS">_xlfn.LAMBDA(_xlpm.input,_xlop.mode, _xlfn.LET(_xlpm.mode, IF((_xlfn.ISOMITTED(_xlpm.mode) + (_xlpm.mode &gt; 2) + (_xlpm.mode &lt; 0)), 0, _xlpm.mode), _xlpm.list, _xlfn._xlws.SORT(_xlfn._xlws.FILTER(_xlfn.SEQUENCE(_xlpm.input, 1), MOD(_xlpm.input, _xlfn.SEQUENCE(_xlpm.input, 1)) = 0)), _xlpm.output, _xlfn.SWITCH(_xlpm.mode, 0, _xlpm.list, 1, TRANSPOSE(_xlpm.list), 2, "{" &amp; _xlfn.TEXTJOIN(", ", , _xlpm.list) &amp; "}", ), _xlpm.output))</definedName>
    <definedName name="LIST_DUPES">_xlfn.LAMBDA(_xlpm.list, _xlfn.LET(_xlpm.count_list, _xlfn.UNIQUE(_xlfn.BYROW(_xlpm.list, _xlfn.LAMBDA(_xlpm.x, _xlpm.x &amp; ": " &amp; COUNTIF(_xlpm.list, _xlpm.x)))), _xlpm.output, _xlfn._xlws.SORT(_xlfn._xlws.FILTER(_xlpm.count_list, VALUE(_xlfn.TEXTAFTER(_xlpm.count_list, ": ")) &gt; 1)), _xlpm.output))</definedName>
    <definedName name="LIST_WEIGHTS">_xlfn.LAMBDA(_xlpm.range, _xlfn.LET(_xlpm.headers, {"Values";"Weights";"Products"}, _xlpm.u_range, _xlfn._xlws.SORT(_xlfn.UNIQUE(_xlpm.range)), _xlpm.weights, _xlfn.BYROW(_xlpm.u_range, _xlfn.LAMBDA(_xlpm.a, COUNTIF(_xlpm.range, _xlpm.a))), _xlpm.products, _xlpm.u_range * _xlpm.weights, _xlpm.col_1, _xlfn.VSTACK(INDEX(_xlpm.headers, 1), _xlpm.u_range), _xlpm.col_2, _xlfn.VSTACK(INDEX(_xlpm.headers, 2), _xlpm.weights), _xlpm.col_3, _xlfn.VSTACK(INDEX(_xlpm.headers, 3), _xlpm.products), CHOOSE({1,2,3}, _xlpm.col_1, _xlpm.col_2, _xlpm.col_3)))</definedName>
    <definedName name="M_SORT">_xlfn.LAMBDA(_xlpm.array,_xlpm.cols, _xlfn.LET(_xlpm.colcount, COUNTA(COLUMN(_xlpm.array)), _xlpm.list, _xlpm.cols, _xlpm.colcount))</definedName>
    <definedName name="MedBracket">_xlfn.LAMBDA(_xlpm.range,_xlpm.mode,_xlfn.XLOOKUP(MEDIAN(_xlpm.range),_xlpm.range,_xlpm.range,"",_xlpm.mode))</definedName>
    <definedName name="METALLIC_MEAN">_xlfn.LAMBDA(_xlpm.input,_xlop.Type,_xlop.Precision, _xlfn.LET(_xlpm.Type, IF((_xlfn.ISOMITTED(_xlpm.Type) + (_xlpm.Type &lt; 0) + (_xlpm.Type &gt; 1)), 0, _xlpm.Type), _xlpm.Precision, IF(_xlfn.ISOMITTED(_xlpm.Precision), 3, _xlpm.Precision), _xlpm.return, SQRT(1 + ((TRUNC(_xlpm.input) ^ 2) / 4)) + (TRUNC(_xlpm.input) / 2), _xlpm.output, _xlfn.SWITCH(_xlpm.Type, 0, _xlpm.return, 1, 1 / _xlpm.return), _xlpm.output))</definedName>
    <definedName name="METALS">_xlfn.LAMBDA(_xlop.max,_xlop.Precision, _xlfn.LET(_xlpm.max, IF(_xlfn.ISOMITTED(_xlpm.max), 9, _xlpm.max), _xlpm.Precision, IF(_xlfn.ISOMITTED(_xlpm.Precision), 5, _xlpm.Precision), _xlpm.prec, "#." &amp; REPT("0", _xlpm.Precision), _xlpm.list, _xlfn.SEQUENCE(_xlpm.max, , 1), _xlpm.output, VALUE(TEXT(_xlfn.BYROW(_xlpm.list, _xlfn.LAMBDA(_xlpm.x, SQRT(1 + (_xlpm.x ^ 2) / 4) + (_xlpm.x / 2))), _xlpm.prec)), _xlpm.output))</definedName>
    <definedName name="MINUTES_DHMS">_xlfn.LAMBDA(_xlpm.DecimalMinutes,_xlop.Precision, _xlfn.LET(_xlpm.Precision, IF(_xlfn.ISOMITTED(_xlpm.Precision), 3, _xlpm.Precision), _xlpm.TotalDays, _xlpm.DecimalMinutes / 60 / 24,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_xlpm.Days &amp; "d " &amp; _xlpm.Hours &amp; "h " &amp; _xlpm.Minutes &amp; "m " &amp; FIXED(_xlpm.Seconds, _xlpm.Precision) &amp; "s"))</definedName>
    <definedName name="MINUTES_HMS">_xlfn.LAMBDA(_xlpm.DecimalMinutes,_xlop.Precision, _xlfn.LET(_xlpm.Precision, IF(_xlfn.ISOMITTED(_xlpm.Precision), 3, _xlpm.Precision), _xlpm.TotalHours, _xlpm.DecimalMinutes / 60, _xlpm.Hours, QUOTIENT(_xlpm.DecimalMinutes, 60), _xlpm.TotalMinutes, MOD(_xlpm.DecimalMinutes, 60), _xlpm.Minutes, QUOTIENT(_xlpm.TotalMinutes, 1), _xlpm.totalseconds, MOD(_xlpm.TotalMinutes, 1), _xlpm.Seconds, _xlpm.totalseconds * 60, _xlpm.Hours &amp; "h " &amp; _xlpm.Minutes &amp; "m " &amp; FIXED(_xlpm.Seconds, _xlpm.Precision) &amp; "s"))</definedName>
    <definedName name="MINUTES_MS">_xlfn.LAMBDA(_xlpm.DecimalMinutes,_xlop.Precision, _xlfn.LET(_xlpm.Precision, IF(_xlfn.ISOMITTED(_xlpm.Precision), 3, _xlpm.Precision), _xlpm.Minutes, QUOTIENT(_xlpm.DecimalMinutes, 1), _xlpm.Seconds, (_xlpm.DecimalMinutes - _xlpm.Minutes) * 60, _xlpm.Minutes &amp; "m " &amp; FIXED(_xlpm.Seconds, _xlpm.Precision) &amp; "s"))</definedName>
    <definedName name="MINUTES_YDHMS">_xlfn.LAMBDA(_xlpm.DecimalMinutes,_xlop.Type,_xlop.Precision, _xlfn.LET(_xlpm.year_len, _xlfn.SWITCH(_xlpm.Type, 0, 525600, 1, 525948.7536, 2, 525960, 3, 525969.16272576, 525600), _xlpm.Precision, IF(_xlfn.ISOMITTED(_xlpm.Precision), 3, _xlpm.Precision), _xlpm.TotalYears, _xlpm.DecimalMinutes / _xlpm.year_len, _xlpm.Years, QUOTIENT(_xlpm.TotalYears, 1), _xlpm.TotalDays, MOD(_xlpm.TotalYears, 1) * _xlpm.year_len / 1440, _xlpm.Days, QUOTIENT(_xlpm.TotalDays, 1), _xlpm.TotalHours, MOD(_xlpm.TotalDays, 1), _xlpm.Hours, QUOTIENT(_xlpm.TotalHours * 24, 1), _xlpm.TotalMinutes, MOD(_xlpm.TotalHours * 24, 1), _xlpm.Minutes, QUOTIENT(_xlpm.TotalMinutes * 60, 1), _xlpm.totalseconds, MOD(_xlpm.TotalMinutes * 60, 1), _xlpm.Seconds, _xlpm.totalseconds * 60, _xlpm.Years &amp; "y " &amp; _xlpm.Days &amp; "d " &amp; _xlpm.Hours &amp; "h " &amp; _xlpm.Minutes &amp; "m " &amp; FIXED(_xlpm.Seconds, _xlpm.Precision) &amp; "s"))</definedName>
    <definedName name="MOON.D.G">_xlfn.LAMBDA(3.344)</definedName>
    <definedName name="MOON.D.T">_xlfn.LAMBDA(MOON.D.G() / EARTH.D.G())</definedName>
    <definedName name="MOON.ECC">_xlfn.LAMBDA(0.0549)</definedName>
    <definedName name="MOON.G.T">_xlfn.LAMBDA(0.1654)</definedName>
    <definedName name="MOON.M.T">_xlfn.LAMBDA(0.0123)</definedName>
    <definedName name="MOON.ORB.AU">_xlfn.LAMBDA(MOON.ORB.KM() / AU.KM())</definedName>
    <definedName name="MOON.ORB.KM">_xlfn.LAMBDA(384399)</definedName>
    <definedName name="MOON.ORB.T">_xlfn.LAMBDA(MOON.ORB.KM() / EARTH.R.KM())</definedName>
    <definedName name="MOON.P.SID">_xlfn.LAMBDA(27.321661)</definedName>
    <definedName name="MOON.P.SYN">_xlfn.LAMBDA(29.53058821)</definedName>
    <definedName name="MOON.R.KM">_xlfn.LAMBDA(1737.4)</definedName>
    <definedName name="MOON.R.T">_xlfn.LAMBDA(MOON.R.KM() / EARTH.R.KM())</definedName>
    <definedName name="NUM_ONLY">_xlfn.LAMBDA(_xlpm.input, _xlfn.LET(_xlpm.get_codes, CODE(MID(LOWER(_xlpm.input), _xlfn.SEQUENCE(LEN(_xlpm.input)), 1)), _xlpm.make_num, SUM(--_xlfn.BYROW(_xlpm.get_codes, _xlfn.LAMBDA(_xlpm.z, _xlpm.z = 46))), _xlpm.output, IF(_xlpm.make_num &gt;= 2, _xlfn.CONCAT(_xlfn.BYROW(_xlpm.get_codes, _xlfn.LAMBDA(_xlpm.x, IF(AND(OR(_xlpm.x &lt; 48, _xlpm.x &gt; 57), _xlpm.x &lt;&gt; 46), "", CHAR(_xlpm.x))))), IFERROR(VALUE(_xlfn.CONCAT(_xlfn.BYROW(_xlpm.get_codes, _xlfn.LAMBDA(_xlpm.x, IF(AND(OR(_xlpm.x &lt; 48, _xlpm.x &gt; 57), _xlpm.x &lt;&gt; 46), "", CHAR(_xlpm.x)))))), "#NONE!")), _xlpm.output))</definedName>
    <definedName name="NUMMAG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_xlfn.IFS(_xlpm.divisor &lt;= _xlpm.max, 10 ^ _xlpm.divisor, _xlpm.divisor &gt; _xlpm.max, 10 ^ _xlpm.max), _xlpm.value, _xlpm.input / _xlpm.adjust, _xlpm.suff, _xlfn.SWITCH(_xlpm.divisor, 0, "—", 3, "k", 6, "M", 9, "G", 12, "T", 15, "P", 18, "E", 21, "Z", 24, "Y", 27, "R", "Q"), FIXED(_xlpm.value, _xlpm.decprec, TRUE) &amp; " " &amp; _xlpm.suff))</definedName>
    <definedName name="NumNote.NUMNOTE_ENGINEERING">_xlfn.LAMBDA(_xlpm.input,_xlop.prec, _xlfn.LET(_xlpm.prec, IF(_xlfn.ISOMITTED(_xlpm.prec), 2, _xlpm.prec), _xlpm.power, TRUNC(LOG10(ABS(_xlpm.input))), _xlpm.divisor, _xlpm.power - MOD(_xlpm.power, 3), _xlpm.adjust, 10 ^ _xlpm.divisor, _xlpm.value, ROUND(_xlpm.input / _xlpm.adjust, _xlpm.prec), _xlpm.suff, "E" &amp; IF(_xlpm.divisor &gt;= 0, "+", "") &amp; TEXT(_xlpm.divisor, "00"), _xlpm.output, TEXT(_xlpm.value, "0." &amp; REPT("0", _xlpm.prec)) &amp; _xlpm.suff, _xlpm.output))</definedName>
    <definedName name="NumNote.NUMNOTE_MAGNITUDE">_xlfn.LAMBDA(_xlpm.input,_xlop.decprec, _xlfn.LET(_xlpm.max, 30, _xlpm.decprec, IF(_xlfn.ISOMITTED(_xlpm.decprec), 3, _xlpm.decprec), _xlpm.input, ABS(_xlpm.input), _xlpm.power, TRUNC(LOG(_xlpm.input)), _xlpm.category, MOD(_xlpm.power, 3), _xlpm.divisor, _xlfn.SWITCH(_xlpm.category, 0, _xlpm.power, 1, _xlpm.power - 1, 2, _xlpm.power - 2), _xlpm.adjust, IF(_xlpm.divisor &lt;= _xlpm.max, 10 ^ _xlpm.divisor, 10 ^ _xlpm.max), _xlpm.value, _xlpm.input / _xlpm.adjust, _xlpm.suff, _xlfn.SWITCH(_xlpm.divisor, 0, "—", 3, "k", 6, "M", 9, "G", 12, "T", 15, "P", 18, "E", 21, "Z", 24, "Y", 27, "R", 30, "Q", "??"), _xlpm.output, FIXED(_xlpm.value, _xlpm.decprec, TRUE) &amp; " " &amp; _xlpm.suff, _xlpm.output))</definedName>
    <definedName name="NumNote.NUMNOTE_POWERTAG">_xlfn.LAMBDA(_xlpm.input,_xlop.mode, _xlfn.LET(_xlpm.mode, IF(_xlfn.ISOMITTED(_xlpm.mode), 0, _xlpm.mode), _xlpm.mag, TRUNC(LOG10(_xlpm.input)), _xlpm.result, _xlfn.SWITCH(_xlpm.mode, 0, "E+" &amp; TEXT(_xlpm.mag, "00"), 1, "10^" &amp; _xlpm.mag, "Invalid mode"), _xlpm.result))</definedName>
    <definedName name="NUMPOWR">_xlfn.LAMBDA(_xlpm.input,_xlop.mode, _xlfn.LET(_xlpm.mode, IF((_xlpm.mode &gt; 2) + (_xlfn.ISOMITTED(_xlpm.mode)), 0, _xlpm.mode), _xlpm.mag, TRUNC(LOG(_xlpm.input)), _xlpm.power, _xlfn.SWITCH(_xlpm.mode, 0, _xlfn.TEXTJOIN("", , "E+", TEXT(_xlpm.mag, "00")), 1, _xlfn.TEXTJOIN("", , "10^", _xlpm.mag), 2, TEXT(POWER(10, TRUNC(LOG(_xlpm.input))), "0E+00"), ), _xlpm.power))</definedName>
    <definedName name="ORB_AXIS">_xlfn.LAMBDA(_xlpm.mass1,_xlpm.mass2,_xlpm.period, _xlfn.LET(_xlpm.mass2, IF((_xlfn.ISOMITTED(_xlpm.mass2)) + (_xlpm.mass2 = 1), 0, _xlpm.mass2 * 0.000003003), _xlpm.axis, POWER((POWER(_xlpm.period, 2) * (_xlpm.mass1 + _xlpm.mass2)), 1 / 3), _xlpm.axis))</definedName>
    <definedName name="ORB_PERIOD">_xlfn.LAMBDA(_xlpm.mass1,_xlpm.mass2,_xlpm.axis, _xlfn.LET(_xlpm.mass2, IF((_xlfn.ISOMITTED(_xlpm.mass2)) + (_xlpm.mass2 = 1), 0, (_xlpm.mass2 * 0.00000300273)), _xlpm.period, SQRT(POWER(_xlpm.axis, 3) / (_xlpm.mass1 + _xlpm.mass2)), _xlpm.period))</definedName>
    <definedName name="ORB_SUM_MASSES">_xlfn.LAMBDA(_xlpm.axis,_xlpm.period, POWER(_xlpm.axis, 3) / POWER(_xlpm.period, 2))</definedName>
    <definedName name="ORB_XING">_xlfn.LAMBDA(_xlpm.mass1,_xlpm.mass2, ABS(_xlpm.mass1 - _xlpm.mass2) / ABS(_xlpm.mass1 + _xlpm.mass2))</definedName>
    <definedName name="PCT">_xlfn.LAMBDA(_xlpm.one,_xlpm.two,_xlpm.three,_xlop.mode,_xlop.prec, _xlfn.LET(_xlpm.prec, IF((_xlfn.ISOMITTED(_xlpm.prec)) + (_xlpm.prec &lt; 0), 3, _xlpm.prec), _xlpm.mode, IF((_xlfn.ISOMITTED(_xlpm.mode) + (_xlpm.mode &lt; 0) + (_xlpm.mode &gt; 3)), 0, _xlpm.mode), _xlpm.output, _xlfn.SWITCH(_xlpm.mode, 0, ROUND((_xlpm.one - _xlpm.three) / (_xlpm.two - _xlpm.three), _xlpm.prec), 1, ROUND((_xlpm.one * (_xlpm.two - _xlpm.three)) + _xlpm.three, _xlpm.prec), 2, ROUND((_xlpm.one - (_xlpm.two * _xlpm.three)) / (1 - _xlpm.two), _xlpm.prec), 3, ROUND(((_xlpm.one - _xlpm.three) / _xlpm.two) + _xlpm.three, _xlpm.prec)), _xlpm.output))</definedName>
    <definedName name="PERIOD_AXIS">_xlfn.LAMBDA(_xlpm.input, _xlfn.LET(_xlpm.output, POWER(POWER(_xlpm.input, 2), (1 / 3)), _xlpm.output))</definedName>
    <definedName name="POLYGONAL">_xlfn.LAMBDA(_xlpm.s,_xlpm.n, ((_xlpm.s - 2) * ((_xlpm.n ^ 2 - _xlpm.n) / 2)) + _xlpm.n)</definedName>
    <definedName name="POLYROOTS">_xlfn.LAMBDA(_xlpm.a,_xlpm.b,_xlpm.c, _xlfn.LET(_xlpm.discrim, _xlpm.b ^ 2 - 4 * _xlpm.a * _xlpm.c, _xlpm.x_1, IF(_xlpm.discrim &gt;= 0, (-_xlpm.b + SQRT(_xlpm.discrim)) / (2 * _xlpm.a), ""), _xlpm.x_2, IF(_xlpm.discrim &gt; 0, (-_xlpm.b - SQRT(_xlpm.discrim)) / (2 * _xlpm.a), ""), _xlpm.output, IF(_xlpm.discrim &lt; 0, "NONE", IF(_xlpm.discrim = 0, _xlpm.x_1, TRANSPOSE(_xlfn.TEXTSPLIT(FIXED(_xlpm.x_1, 3) &amp; IF(_xlpm.x_2 &lt;&gt; "", " " &amp; FIXED(_xlpm.x_2, 3), ""), " ")))), _xlpm.output))</definedName>
    <definedName name="PPSC_GETLAST">_xlfn.LAMBDA(_xlpm.in, _xlfn.LET(_xlpm.input, _xlfn.TOCOL(_xlpm.in, 3), _xlpm.whole_name, IF(ISNUMBER(SEARCH("(", _xlpm.input)), _xlfn.TEXTBEFORE(_xlpm.input, "("), "TBA"), _xlpm.last_name, _xlfn.TEXTAFTER(_xlpm.whole_name, " ", -2, , , "TBA"), TRIM(_xlpm.last_name)))</definedName>
    <definedName name="PPSC_NAMEONLY">_xlfn.LAMBDA(_xlpm.array, _xlfn.LET(_xlpm.name, TRIM(_xlfn.TEXTBEFORE(_xlpm.array, "(", , , , _xlpm.array)), _xlfn.TOCOL(_xlpm.name, 3)))</definedName>
    <definedName name="PPSC_SPLITNAME">_xlfn.LAMBDA(_xlpm.array, _xlfn.LET(_xlpm.name, TRIM(_xlfn.TEXTBEFORE(_xlpm.array, "(", , , , _xlpm.array)), _xlfn.TEXTSPLIT(_xlpm.name, " ")))</definedName>
    <definedName name="PRODUCTIF">_xlfn.LAMBDA(_xlpm.values,_xlpm.condition, _xlfn.REDUCE(1, _xlpm.values, _xlfn.LAMBDA(_xlpm.a,_xlpm.b, IF(_xlpm.condition(_xlpm.b), _xlpm.a * _xlpm.b, _xlpm.a))))</definedName>
    <definedName name="PYTHAG">_xlfn.LAMBDA(_xlpm.a,_xlpm.b, SQRT(SUMSQ(_xlpm.a, _xlpm.b)))</definedName>
    <definedName name="QUANTILES">_xlfn.LAMBDA(_xlpm.range,_xlop.divisions,_xlop.mode,_xlop.Precision, _xlfn.LET(_xlpm.mode, IF(OR(_xlfn.ISOMITTED(_xlpm.mode), _xlpm.mode &gt; 1), 0, _xlpm.mode), _xlpm.divisions, IF(_xlfn.ISOMITTED(_xlpm.divisions), 10, _xlpm.divisions), _xlpm.Precision, IF(_xlfn.ISOMITTED(_xlpm.Precision), 3, _xlpm.Precision), _xlpm.pctiles, _xlfn.SEQUENCE(_xlpm.divisions + 1, 1, 0) * 1 / _xlpm.divisions, _xlpm.pct_labels, TEXT(_xlpm.pctiles, "0%"), _xlpm.pct_vals, _xlfn.PERCENTILE.INC(_xlpm.range, _xlpm.pctiles), _xlpm.list, _xlfn.TEXTJOIN(" ", TRUE, _xlpm.pct_vals), _xlpm.outputs, _xlfn.TOCOL(ROUND(VALUE(_xlfn.TEXTSPLIT(_xlpm.list, " ")), _xlpm.Precision)), _xlfn.SWITCH(_xlpm.mode, 0, _xlpm.outputs, 1, CHOOSE({1,2}, _xlpm.pct_labels, VALUE(_xlpm.outputs)))))</definedName>
    <definedName name="RANDBENFORD">_xlfn.LAMBDA(_xlop.digits, _xlfn.LET(_xlpm.digits, IF(_xlfn.ISOMITTED(_xlpm.digits), 3, _xlpm.digits), _xlpm.numlist, _xlfn.SEQUENCE(9, 1, 1, 1), _xlpm.problist, {0.301,0.477,0.602,0.699,0.778,0.845,0.903,0.954,1}, _xlpm.random_numbers, _xlfn.RANDARRAY(_xlpm.digits, 1), _xlpm.generated_digits, INDEX(_xlpm.numlist, MATCH(_xlfn.XLOOKUP(_xlpm.random_numbers, _xlpm.problist, _xlpm.problist, , 1), _xlpm.problist, 1)), _xlpm.generated_number, _xlfn.TEXTJOIN("", TRUE, _xlpm.generated_digits), VALUE(_xlpm.generated_number)))</definedName>
    <definedName name="RANDBENFORD_SINGLE">_xlfn.LAMBDA(_xlop.null, _xlfn.LET(_xlpm.numlist, _xlfn.SEQUENCE(9, , 1, 1), _xlpm.problist, {0.301,0.477,0.602,0.699,0.778,0.845,0.903,0.954,1}, _xlpm.prob, _xlfn.XLOOKUP(RAND(), _xlpm.problist, _xlpm.problist, , 1), _xlpm.prob_index, MATCH(_xlpm.prob, _xlpm.problist, 0), _xlpm.digit, INDEX(_xlpm.numlist, _xlpm.prob_index), VALUE(_xlpm.digit)))</definedName>
    <definedName name="RANDDIGITS">_xlfn.LAMBDA(_xlop.len, _xlfn.LET(_xlpm.len, IF(_xlfn.ISOMITTED(_xlpm.len), 5, _xlpm.len), _xlpm.min, IF(_xlpm.len = 1, 0, 10 ^ (_xlpm.len - 1)), _xlpm.max, IF(_xlpm.len = 1, 9, 10 ^ _xlpm.len) - 1, RANDBETWEEN(_xlpm.min, _xlpm.max)))</definedName>
    <definedName name="RANDGROUP">_xlfn.LAMBDA(_xlop.len, _xlfn.LET(_xlpm.len, IF(OR(_xlfn.ISOMITTED(_xlpm.len), _xlpm.len = 0), 5, _xlpm.len), _xlpm.small, _xlfn.SEQUENCE(26, , 97, 1), _xlpm.large, _xlfn.SEQUENCE(26, , 65, 1), _xlpm.numbers, _xlfn.SEQUENCE(10, , 48, 1), _xlpm.extras, {126;33;64;35;36;37;94;38;42;40;41;95;45;43;61;123;91;125;93;124;92;58;59;60;44;62;46;63}, _xlpm.all_list, _xlfn.VSTACK(_xlpm.small, _xlpm.large, _xlpm.numbers, _xlpm.extras), _xlpm.rand_list, INDEX(_xlpm.all_list, _xlfn.RANDARRAY(_xlpm.len, , 1, COUNT(_xlpm.all_list), TRUE)), _xlpm.output, _xlfn.CONCAT(_xlfn.BYROW(_xlpm.rand_list, _xlfn.LAMBDA(_xlpm.q, CHAR(_xlpm.q)))), _xlpm.output))</definedName>
    <definedName name="RANDSTRING">_xlfn.LAMBDA(_xlop.len,_xlop.mode, _xlfn.LET(_xlpm.mode, IF(OR(_xlfn.ISOMITTED(_xlpm.mode), _xlpm.mode &gt; 2), 0, _xlpm.mode), _xlpm.len, IF(OR(_xlfn.ISOMITTED(_xlpm.len), _xlpm.len = 0), 5, _xlpm.len), _xlpm.small, _xlfn.SEQUENCE(26, , 97, 1), _xlpm.large, _xlfn.SEQUENCE(26, , 65, 1), _xlpm.all_list, _xlfn.VSTACK(_xlpm.small, _xlpm.large), _xlpm.rand_list, _xlfn.SWITCH(_xlpm.mode, 0, INDEX(_xlpm.all_list, _xlfn.RANDARRAY(_xlpm.len, , 1, COUNT(_xlpm.all_list), TRUE)), 1, INDEX(_xlpm.small, _xlfn.RANDARRAY(_xlpm.len, , 1, COUNT(_xlpm.small), TRUE)), 2, INDEX(_xlpm.large, _xlfn.RANDARRAY(_xlpm.len, , 1, COUNT(_xlpm.large), TRUE))), _xlpm.output, _xlfn.CONCAT(_xlfn.BYROW(_xlpm.rand_list, _xlfn.LAMBDA(_xlpm.q, CHAR(_xlpm.q)))), _xlpm.output))</definedName>
    <definedName name="RANDUNIQUE">_xlfn.LAMBDA(_xlop.len,_xlop.start,_xlop.step, _xlfn.LET(_xlpm.len, IF(_xlfn.ISOMITTED(_xlpm.len), 5, _xlpm.len), _xlpm.start, IF(_xlfn.ISOMITTED(_xlpm.start), 1, _xlpm.start), _xlpm.step, IF(_xlfn.ISOMITTED(_xlpm.step), 1, _xlpm.step), _xlpm.output, _xlfn.SORTBY(_xlfn.SEQUENCE(_xlpm.len, , _xlpm.start, _xlpm.step), _xlfn.RANDARRAY(_xlpm.len)), _xlpm.output))</definedName>
    <definedName name="RANGE_PERCENT_OF_VALU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RANGE_PERCENT_TRANSFER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RANGE_VALUE_OF_PERCENT">_xlfn.LAMBDA(_xlpm.min,_xlpm.max,_xlpm.pct,_xlop.decprec, _xlfn.LET(_xlpm.decprec, IF(_xlfn.ISOMITTED(_xlpm.decprec), 15, _xlpm.decprec), _xlpm.calc, _xlpm.pct * (_xlpm.max - _xlpm.min) + _xlpm.min, ROUND(_xlpm.calc, _xlpm.decprec)))</definedName>
    <definedName name="RECIP">_xlfn.LAMBDA(_xlpm.input, 1 / _xlpm.input)</definedName>
    <definedName name="REPTARRAY">_xlfn.LAMBDA(_xlpm.array,_xlpm.rows,_xlpm.rept, _xlfn.TOCOL(_xlfn.MAKEARRAY(ROWS(_xlpm.array) * _xlpm.rept, _xlpm.rows, _xlfn.LAMBDA(_xlpm.r,_xlpm.c, INDEX(_xlpm.array, 1 + MOD(_xlpm.r - 1, ROWS(_xlpm.array)))))))</definedName>
    <definedName name="ROOT">_xlfn.LAMBDA(_xlpm.n,_xlop.x, _xlfn.LET(_xlpm.result, IF(_xlfn.ISOMITTED(_xlpm.x), SQRT(_xlpm.n), _xlpm.n ^ (1 / _xlpm.x)), _xlpm.result))</definedName>
    <definedName name="ROOT_DIGITAL">_xlfn.LAMBDA(_xlpm.input, _xlfn.LET(_xlpm.mode, IF(_xlpm.input &lt; 1, 1, 0), _xlpm.input, _xlfn.SWITCH(_xlpm.mode, 0, TRUNC(_xlpm.input), 1, VALUE(SUBSTITUTE(_xlpm.input, ".", "")), ), _xlpm.sub, SUMPRODUCT(--MID(_xlpm.input, _xlfn.SEQUENCE(LEN(_xlpm.input)), 1)), _xlpm.root, 1 + MOD(ABS(_xlpm.sub) - 1, 9), _xlpm.root))</definedName>
    <definedName name="ROOT_DIGITAL_SUB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ROOT_NUMERO">_xlfn.LAMBDA(_xlpm.input, _xlfn.LET(_xlpm.TempTot, SUMPRODUCT(--MID(_xlpm.input, _xlfn.SEQUENCE(LEN(_xlpm.input)), 1)), _xlpm.fmt, "#", IF(_xlpm.input &lt; 10, TEXT(_xlpm.input, _xlpm.fmt), _xlfn.TEXTJOIN("/", , IF((_xlpm.input = 11) + (_xlpm.input = 22) + (_xlpm.input = 33), TEXT(_xlpm.input, _xlpm.fmt), IF(_xlpm.TempTot &lt; 10, "", _xlpm.TempTot)), TEXT(1 + MOD(ABS(_xlpm.input) - 1, 9), _xlpm.fmt)))))</definedName>
    <definedName name="SECONDS_DHMS">_xlfn.LAMBDA(_xlpm.DecimalSeconds,_xlop.Precision, _xlfn.LET(_xlpm.decprec, IF(_xlfn.ISOMITTED(_xlpm.Precision), 3, _xlpm.Precision), _xlpm.totalseconds, _xlpm.DecimalSeconds, _xlpm.Days, QUOTIENT(_xlpm.totalseconds, 86400), _xlpm.Hours, QUOTIENT(MOD(_xlpm.totalseconds, 86400), 3600), _xlpm.Minutes, QUOTIENT(MOD(_xlpm.totalseconds, 3600), 60), _xlpm.Seconds, MOD(_xlpm.totalseconds, 60), _xlpm.Days &amp; "d " &amp; _xlpm.Hours &amp; "h " &amp; _xlpm.Minutes &amp; "m " &amp; FIXED(_xlpm.Seconds, _xlpm.decprec) &amp; "s"))</definedName>
    <definedName name="SECONDS_HMS">_xlfn.LAMBDA(_xlpm.DecimalSeconds,_xlop.Precision, _xlfn.LET(_xlpm.decprec, IF(_xlfn.ISOMITTED(_xlpm.Precision), 3, _xlpm.Precision), _xlpm.hrs, QUOTIENT(_xlpm.DecimalSeconds, 3600), _xlpm.min, QUOTIENT(MOD(_xlpm.DecimalSeconds, 3600), 60), _xlpm.sec, MOD(_xlpm.DecimalSeconds, 60), _xlpm.hrs &amp; "h " &amp; _xlpm.min &amp; "m " &amp; FIXED(_xlpm.sec, _xlpm.decprec) &amp; "s"))</definedName>
    <definedName name="SECONDS_MS">_xlfn.LAMBDA(_xlpm.DecimalSeconds,_xlop.Precision, _xlfn.LET(_xlpm.decprec, IF(_xlfn.ISOMITTED(_xlpm.Precision), 3, _xlpm.Precision), _xlpm.sign, IF(_xlpm.DecimalSeconds &lt; 0, "-", ""), _xlpm.totalseconds, ABS(_xlpm.DecimalSeconds), _xlpm.Minutes, TRUNC(_xlpm.totalseconds / 60), _xlpm.Seconds, MOD(_xlpm.totalseconds, 60), _xlpm.sign &amp; _xlpm.Minutes &amp; "m " &amp; FIXED(_xlpm.Seconds, _xlpm.decprec) &amp; "s"))</definedName>
    <definedName name="SECONDS_YDHMS">_xlfn.LAMBDA(_xlpm.DecimalSeconds,_xlop.Type,_xlop.Precision, _xlfn.LET(_xlpm.year_len, _xlfn.SWITCH(_xlpm.Type, 0, 31536000, 1, 31556925.22, 2, 31557600, 3, 31558149.7635456, 31536000), _xlpm.decprec, IF(_xlfn.ISOMITTED(_xlpm.Precision), 3, _xlpm.Precision), _xlpm.totalseconds, _xlpm.DecimalSeconds, _xlpm.Years, QUOTIENT(_xlpm.totalseconds, _xlpm.year_len), _xlpm.RemainingSecondsAfterYears, MOD(_xlpm.totalseconds, _xlpm.year_len), _xlpm.Days, QUOTIENT(_xlpm.RemainingSecondsAfterYears, 86400), _xlpm.RemainingSecondsAfterDays, MOD(_xlpm.RemainingSecondsAfterYears, 86400), _xlpm.Hours, QUOTIENT(_xlpm.RemainingSecondsAfterDays, 3600), _xlpm.RemainingSecondsAfterHours, MOD(_xlpm.RemainingSecondsAfterDays, 3600), _xlpm.Minutes, QUOTIENT(_xlpm.RemainingSecondsAfterHours, 60), _xlpm.Seconds, MOD(_xlpm.RemainingSecondsAfterHours, 60), _xlpm.Years &amp; "y " &amp; _xlpm.Days &amp; "d " &amp; _xlpm.Hours &amp; "h " &amp; _xlpm.Minutes &amp; "m " &amp; FIXED(_xlpm.Seconds, _xlpm.decprec) &amp; "s"))</definedName>
    <definedName name="SEEDED_VALUE">_xlfn.LAMBDA(_xlpm.seed, _xlfn.LET(_xlpm.output, MOD(48271 * _xlpm.seed, 2 ^ 31 - 1), _xlpm.output))</definedName>
    <definedName name="SEQUENCE_BETW">_xlfn.LAMBDA(_xlpm.lbound,_xlpm.ubound,_xlpm.length, _xlfn.LET(_xlpm.length, MAX(1, _xlpm.length), _xlpm.step, IF(_xlpm.length = 1, 0, (_xlpm.ubound - _xlpm.lbound) / (_xlpm.length - 1)), IF(_xlpm.length = 1, _xlpm.lbound, _xlfn.SEQUENCE(_xlpm.length, , _xlpm.lbound, _xlpm.step))))</definedName>
    <definedName name="SEQUENCE_BETWEEN">_xlfn.LAMBDA(_xlpm.lbound,_xlpm.ubound,_xlop.step,_xlop.mode, _xlfn.LET(_xlpm.mode, IF(OR(_xlfn.ISOMITTED(_xlpm.mode), _xlpm.mode &gt; 1), 0, _xlpm.mode), _xlpm.step, IF(_xlfn.ISOMITTED(_xlpm.step), IF(_xlpm.ubound &gt;= _xlpm.lbound, 1, -1), _xlpm.step), _xlpm.count, IF(_xlpm.step = 0, 1, ABS((_xlpm.ubound - _xlpm.lbound) / _xlpm.step) + 1), _xlpm.list, IF(_xlpm.step = 0, _xlpm.lbound, _xlfn.SEQUENCE(_xlpm.count, , _xlpm.lbound, _xlpm.step)), _xlpm.output, IF(_xlpm.mode = 0, _xlpm.list, TRANSPOSE(_xlpm.list)), _xlpm.output))</definedName>
    <definedName name="SEQUENCE_BTWN">_xlfn.LAMBDA(_xlpm.lbound,_xlpm.ubound,_xlpm.length,_xlop.mode, _xlfn.LET(_xlpm.length, MAX(1, _xlpm.length), _xlpm.mode, IF(OR(_xlfn.ISOMITTED(_xlpm.mode), _xlpm.mode &gt; 2), 0, _xlpm.mode), _xlpm.stp, IF(_xlpm.length = 1, 0, (_xlpm.ubound - _xlpm.lbound) / _xlpm.length), _xlpm.rng, IF(_xlpm.stp = 0, 1, (_xlpm.ubound - _xlpm.lbound) / _xlpm.stp), _xlpm.list, _xlfn.SWITCH(_xlpm.mode, 1, _xlfn.SEQUENCE(_xlpm.rng, , _xlpm.lbound + _xlpm.stp, _xlpm.stp), 0, _xlfn.SEQUENCE(_xlpm.rng, , _xlpm.lbound, _xlpm.stp), 2, _xlfn.SEQUENCE(_xlpm.rng + 1, , _xlpm.lbound, _xlpm.stp)), _xlpm.list))</definedName>
    <definedName name="SEQUENCE_REPEAT">_xlfn.LAMBDA(_xlpm.start,_xlpm.end,_xlpm.repeat,_xlop.repeatMode, _xlfn.LET(_xlpm.len, ABS(_xlpm.start - _xlpm.end) + 1, _xlpm.repeat, IF(ISNUMBER(_xlpm.repeat), _xlpm.repeat, 1), _xlpm.valid, IF(_xlpm.repeat &gt;= 0, TRUE, FALSE), _xlpm.repeatMode, IF(_xlfn.ISOMITTED(_xlpm.repeatMode), 0, _xlpm.repeatMode), _xlpm.sequence, _xlfn.SEQUENCE(_xlpm.len, , _xlpm.start, 1), _xlpm.result, IF(_xlpm.valid, IF(_xlpm.repeatMode = 0, _xlfn.LET(_xlpm.arr, _xlfn.CONCAT(_xlfn.BYROW(_xlpm.sequence, _xlfn.LAMBDA(_xlpm.x, REPT(_xlfn.CONCAT(_xlpm.x, ","), _xlpm.repeat)))), VALUE(_xlfn.TOCOL(_xlfn.TEXTSPLIT(LEFT(_xlpm.arr, LEN(_xlpm.arr) - 1), ",")))), _xlfn.LET(_xlpm.arr, _xlfn.CONCAT(REPT(_xlfn.CONCAT(_xlfn.TEXTJOIN(",", TRUE, _xlpm.sequence), ","), _xlpm.repeat)), VALUE(_xlfn.TOCOL(_xlfn.TEXTSPLIT(LEFT(_xlpm.arr, LEN(_xlpm.arr) - 1), ","))))), "Invalid input: repeat must be non-negative"), _xlpm.result))</definedName>
    <definedName name="SERIALTODATE">_xlfn.LAMBDA(_xlpm.serial,_xlop.fmt, _xlfn.LET(_xlpm.format, IF(_xlfn.ISOMITTED(_xlpm.fmt), "mm/dd/yyyy", _xlpm.fmt), _xlpm.text_val, TEXT(_xlpm.serial, _xlpm.format), _xlpm.text_val))</definedName>
    <definedName name="SMALLANGLE">_xlfn.LAMBDA(_xlpm.diameter,_xlpm.distance, 0.532904294 * (_xlpm.diameter / _xlpm.distance))</definedName>
    <definedName name="SPLITDIGITS">_xlfn.LAMBDA(_xlpm.input,_xlop.mode, _xlfn.LET(_xlpm.mode, IF(OR(_xlfn.ISOMITTED(_xlpm.mode), _xlpm.mode &gt; 1), 0, _xlpm.mode), _xlpm.stripped, SUBSTITUTE(_xlpm.input, ".", ""), _xlpm.output, IFERROR(VALUE(MID(_xlpm.stripped, _xlfn.SEQUENCE(LEN(_xlpm.stripped)), 1)), "0"), _xlfn.SWITCH(_xlpm.mode, 1, _xlpm.output, 0, TRANSPOSE(_xlpm.output), )))</definedName>
    <definedName name="SPLITFRACTION">_xlfn.LAMBDA(_xlpm.input,_xlop.mode, _xlfn.LET(_xlpm.mode, IF(OR(_xlfn.ISOMITTED(_xlpm.mode), _xlpm.mode &gt; 1), 0, _xlpm.mode), _xlpm.select, IF(OR(_xlfn.ISOMITTED(_xlpm.mode), _xlpm.mode &gt; 2), 0, _xlpm.mode), _xlpm.numer, VALUE(_xlfn.TEXTBEFORE(_xlpm.input, "/")), _xlpm.denom, VALUE(_xlfn.TEXTAFTER(_xlpm.input, "/")), _xlpm.list, _xlfn.TEXTJOIN("|", , _xlpm.numer, _xlpm.denom), _xlpm.output, _xlfn.SWITCH(_xlpm.mode, 0, _xlfn.TEXTSPLIT(_xlpm.list, "|"), 1, TRANSPOSE(_xlfn.TEXTSPLIT(_xlpm.list, "|"))), _xlpm.output))</definedName>
    <definedName name="SPLITNAME">_xlfn.LAMBDA(_xlpm.input, _xlfn.LET(_xlpm.Last, _xlfn.TEXTBEFORE(_xlpm.input, ", "), _xlpm.Remainder, _xlfn.TEXTAFTER(_xlpm.input, ", "), _xlpm.HasMiddle, ISNUMBER(SEARCH(" ", _xlpm.Remainder)), _xlpm.First, IF(_xlpm.HasMiddle = TRUE, _xlfn.TEXTBEFORE(_xlpm.Remainder, " "), _xlpm.Remainder), _xlpm.Middle, IF(_xlpm.HasMiddle = TRUE, _xlfn.TEXTAFTER(_xlpm.Remainder, " "), ""), _xlpm.list, _xlfn.TEXTJOIN("|", TRUE, _xlpm.Last, _xlpm.First, _xlpm.Middle), _xlfn.TEXTSPLIT(_xlpm.list, "|")))</definedName>
    <definedName name="SPLITSTRING">_xlfn.LAMBDA(_xlpm.input,_xlop.mode, _xlfn.LET(_xlpm.mode, IF(OR(_xlfn.ISOMITTED(_xlpm.mode), _xlpm.mode &gt; 1), 0, _xlpm.mode), _xlpm.output, IF(_xlpm.mode = 0, TRANSPOSE(MID(_xlpm.input, _xlfn.SEQUENCE(LEN(_xlpm.input)), 1)), MID(_xlpm.input, _xlfn.SEQUENCE(LEN(_xlpm.input)), 1)), _xlpm.output))</definedName>
    <definedName name="STATS_MINMAX">_xlfn.LAMBDA(_xlpm.array,_xlop.prec, _xlfn.LET(_xlpm.prec, IF(_xlfn.ISOMITTED(_xlpm.prec), 3, _xlpm.prec), _xlpm.min, MIN(_xlpm.array), _xlpm.max, MAX(_xlpm.array), _xlpm.min_out, ROUND(MIN(_xlpm.array), _xlpm.prec), _xlpm.max_out, ROUND(MAX(_xlpm.array), _xlpm.prec), _xlpm.list, _xlfn.TEXTJOIN("|", , _xlpm.min_out, _xlpm.max_out), _xlfn.TOCOL(VALUE(_xlfn.TEXTSPLIT(_xlpm.list, "|")))))</definedName>
    <definedName name="STATS_PCT_CHG">_xlfn.LAMBDA(_xlpm.old,_xlpm.new,_xlop.mode,_xlop.Precision, _xlfn.LET(_xlpm.Precision, IF(_xlfn.ISOMITTED(_xlpm.Precision), 3, _xlpm.Precision), _xlpm.mode, IF(OR(_xlfn.ISOMITTED(_xlpm.mode), _xlpm.mode &gt; 1), 0, _xlpm.mode), _xlpm.fmt, "0." &amp; REPT("0", _xlpm.Precision) &amp; "%", _xlpm.diff, _xlpm.new - _xlpm.old, _xlpm.result, _xlfn.SWITCH(_xlpm.mode, 0, ROUND(_xlpm.diff / _xlpm.old, _xlpm.Precision), 1, IF(ROUND(_xlpm.diff / _xlpm.old, _xlpm.Precision) &gt; 0, "+" &amp; TEXT(_xlpm.diff / _xlpm.old, _xlpm.fmt), TEXT(_xlpm.diff / _xlpm.old, _xlpm.fmt))), _xlpm.result))</definedName>
    <definedName name="STATS_PCT_DIF">_xlfn.LAMBDA(_xlpm.val_01,_xlpm.val_02,_xlop.mode,_xlop.Precision, _xlfn.LET(_xlpm.Precision, IF(_xlfn.ISOMITTED(_xlpm.Precision), 3, _xlpm.Precision), _xlpm.mode, IF(OR(_xlfn.ISOMITTED(_xlpm.mode), _xlpm.mode &gt; 1), 0, _xlpm.mode), _xlpm.diff, ABS(_xlpm.val_02 - _xlpm.val_01), _xlpm.Avg, ABS(AVERAGE(_xlpm.val_01, _xlpm.val_02)), _xlpm.fmt, "0." &amp; REPT("0", _xlpm.Precision) &amp; "%", _xlpm.result, _xlfn.SWITCH(_xlpm.mode, 0, ROUND(_xlpm.diff / _xlpm.Avg, _xlpm.Precision), 1, TEXT(_xlpm.diff / _xlpm.Avg, _xlpm.fmt)), _xlpm.result))</definedName>
    <definedName name="STATS_PCT_ERR">_xlfn.LAMBDA(_xlpm.expected,_xlpm.actual,_xlop.mode,_xlop.Precision, _xlfn.LET(_xlpm.mode, IF(OR(_xlfn.ISOMITTED(_xlpm.mode), _xlpm.mode &gt; 1), 0, _xlpm.mode), _xlpm.fmt, "0." &amp; REPT("0", _xlpm.Precision) &amp; "%", _xlpm.Precision, IF(_xlfn.ISOMITTED(_xlpm.Precision), 3, _xlpm.Precision), _xlpm.diff, ABS(_xlpm.actual - _xlpm.expected), _xlpm.result, _xlfn.SWITCH(_xlpm.mode, 0, ROUND(_xlpm.diff / ABS(_xlpm.actual), _xlpm.Precision), 1, TEXT(_xlpm.diff / ABS(_xlpm.actual), _xlpm.fmt), ), _xlpm.result))</definedName>
    <definedName name="STATS_SPAN">_xlfn.LAMBDA(_xlpm.array, _xlfn.LET(_xlpm.output, MAX(_xlpm.array) - MIN(_xlpm.array), _xlpm.output))</definedName>
    <definedName name="STATS_STDERR">_xlfn.LAMBDA(_xlpm.array,_xlop.mode,_xlop.Precision, _xlfn.LET(_xlpm.Precision, IF(_xlfn.ISOMITTED(_xlpm.Precision), 3, _xlpm.Precision), _xlpm.mode, IF(OR(_xlfn.ISOMITTED(_xlpm.mode), _xlpm.mode &gt; 1), 0, _xlpm.mode), _xlpm.stderr, _xlfn.SWITCH(_xlpm.mode, 0, _xlfn.STDEV.P(_xlpm.array) / SQRT(COUNTA(_xlpm.array)), 1, _xlfn.STDEV.S(_xlpm.array) / SQRT(COUNTA(_xlpm.array))), _xlpm.result, ROUND(_xlpm.stderr, _xlpm.Precision), _xlpm.result))</definedName>
    <definedName name="STATS_TILES">_xlfn.LAMBDA(_xlpm.range,_xlop.divisions,_xlop.mode,_xlop.style,_xlop.Precision, _xlfn.LET(_xlpm.mode, IF(OR(_xlfn.ISOMITTED(_xlpm.mode), _xlpm.mode &gt; 2), 0, _xlpm.mode), _xlpm.divisions, IF(_xlfn.ISOMITTED(_xlpm.divisions), 10, _xlpm.divisions), _xlpm.Precision, IF(_xlfn.ISOMITTED(_xlpm.Precision), 3, _xlpm.Precision), _xlpm.style, IF(OR(_xlfn.ISOMITTED(_xlpm.style), _xlpm.style &gt; 2), 0, _xlpm.style), _xlpm.pctiles, _xlfn.SWITCH(_xlpm.style, 0, _xlfn.SEQUENCE(_xlpm.divisions - 1, 1, 1) * 1 / _xlpm.divisions, 1, _xlfn.SEQUENCE(_xlpm.divisions, 1, 0) * 1 / _xlpm.divisions, 2, _xlfn.SEQUENCE(_xlpm.divisions + 1, 1, 0) * 1 / _xlpm.divisions, ), _xlpm.fmt, "0.00%", _xlpm.pct_labels, TEXT(_xlpm.pctiles, _xlpm.fmt), _xlpm.pct_vals, ROUND(_xlfn.PERCENTILE.INC(_xlpm.range, _xlpm.pctiles), _xlpm.Precision), _xlpm.counts, _xlfn.BYROW(_xlpm.pct_vals, _xlfn.LAMBDA(_xlpm.x, COUNTIF(_xlpm.range, "&lt;=" &amp; _xlpm.x))), _xlfn.SWITCH(_xlpm.mode, 0, _xlpm.pct_vals, 1, CHOOSE({1,2}, _xlpm.pct_labels, VALUE(_xlpm.pct_vals)), 2, CHOOSE({1,2,3}, _xlpm.pct_labels, VALUE(_xlpm.pct_vals), VALUE(_xlpm.counts)))))</definedName>
    <definedName name="Stats.STAT_BENFORD_TABLE">_xlfn.LAMBDA(_xlop.mode, _xlfn.LET(_xlpm.mode, IF(_xlfn.ISOMITTED(_xlpm.mode), "", UPPER(_xlpm.mode)), _xlpm.digits, _xlfn.SEQUENCE(9, , 1, 1), _xlpm.probs, _xlfn.BYROW(_xlpm.digits, _xlfn.LAMBDA(_xlpm.d,LOG10(1 + (1 / _xlpm.d)))), _xlpm.result, IF(_xlpm.mode = "LBL", _xlfn.HSTACK(_xlpm.digits, _xlpm.probs), _xlpm.probs), _xlpm.result))</definedName>
    <definedName name="Stats.STAT_FREQ_TABLE">_xlfn.LAMBDA(_xlpm.range,_xlop.mode, _xlfn.LET(_xlpm.mode, IF(_xlfn.ISOMITTED(_xlpm.mode), "", UPPER(_xlpm.mode)), _xlpm.u_vals, _xlfn._xlws.SORT(_xlfn.UNIQUE(_xlpm.range)), _xlpm.weights, _xlfn.BYROW(_xlpm.u_vals, _xlfn.LAMBDA(_xlpm.a, COUNTIF(_xlpm.range, _xlpm.a))), _xlpm.products, _xlpm.u_vals * _xlpm.weights, _xlpm.values_col, IF(_xlpm.mode = "LBL", _xlfn.VSTACK("Value", _xlpm.u_vals), _xlpm.u_vals), _xlpm.weights_col, IF(_xlpm.mode = "LBL", _xlfn.VSTACK("Weight", _xlpm.weights), _xlpm.weights), _xlpm.products_col, IF(_xlpm.mode = "LBL", _xlfn.VSTACK("Product", _xlpm.products), _xlpm.products), _xlfn.HSTACK(_xlpm.values_col, _xlpm.weights_col, _xlpm.products_col)))</definedName>
    <definedName name="Stats.STAT_GEO5">_xlfn.LAMBDA(_xlpm.range,_xlop.label,_xlop.prec, _xlfn.LET(_xlpm.label, IF(_xlfn.ISOMITTED(_xlpm.label), "", UPPER(_xlpm.label)), _xlpm.prec, IF(_xlfn.ISOMITTED(_xlpm.prec), 3, _xlpm.prec), _xlpm.min_val, MIN(_xlpm.range), _xlpm.max_val, MAX(_xlpm.range), _xlpm.midrange, (_xlpm.min_val + _xlpm.max_val) / 2, _xlpm.lower_mid, (_xlpm.min_val + _xlpm.midrange) / 2, _xlpm.upper_mid, (_xlpm.midrange + _xlpm.max_val) / 2, _xlpm.raw_vals, _xlfn.VSTACK(_xlpm.min_val, _xlpm.lower_mid, _xlpm.midrange, _xlpm.upper_mid, _xlpm.max_val), _xlpm.rounded_vals, ROUND(_xlpm.raw_vals, _xlpm.prec), _xlpm.labels, _xlfn.VSTACK("Min", "Lower Mid", "Midrange", "Upper Mid", "Max"), _xlpm.output, IF(_xlpm.label = "LBL", _xlfn.HSTACK(_xlpm.labels, _xlpm.rounded_vals), _xlpm.rounded_vals), _xlpm.output))</definedName>
    <definedName name="Stats.STAT_MIDRANGE">_xlfn.LAMBDA(_xlpm.array,_xlop.prec, _xlfn.LET(_xlpm.prec, IF(_xlfn.ISOMITTED(_xlpm.prec), 3, _xlpm.prec), _xlpm.count_val, COUNT(_xlpm.array), _xlpm.midrange, IF(_xlpm.count_val = 0, NA(), ABS((MIN(_xlpm.array) - MAX(_xlpm.array))) / 2), ROUND(_xlpm.midrange, _xlpm.prec)))</definedName>
    <definedName name="Stats.STAT_MINMAX">_xlfn.LAMBDA(_xlpm.array,_xlop.prec,_xlop.label,_xlop.layout, _xlfn.LET(_xlpm.prec, IF(_xlfn.ISOMITTED(_xlpm.prec), 3, _xlpm.prec), _xlpm.label, IF(_xlfn.ISOMITTED(_xlpm.label), "", UPPER(_xlpm.label)), _xlpm.layout, IF(_xlfn.ISOMITTED(_xlpm.layout), "V", UPPER(_xlpm.layout)), _xlpm.min_val, ROUND(MIN(_xlpm.array), _xlpm.prec), _xlpm.max_val, ROUND(MAX(_xlpm.array), _xlpm.prec), _xlpm.result_lbl, _xlfn.VSTACK(_xlfn.HSTACK("Min", _xlpm.min_val), _xlfn.HSTACK("Max", _xlpm.max_val)), _xlpm.result_raw, IF(_xlpm.layout = "H", _xlfn.HSTACK(_xlpm.min_val, _xlpm.max_val), _xlfn.VSTACK(_xlpm.min_val, _xlpm.max_val)), IF(_xlpm.label = "LBL", _xlpm.result_lbl, _xlpm.result_raw)))</definedName>
    <definedName name="Stats.STAT_PCT_OF_RANGE">_xlfn.LAMBDA(_xlpm.min,_xlpm.max,_xlpm.value,_xlop.decprec, _xlfn.LET(_xlpm.decprec, IF(_xlfn.ISOMITTED(_xlpm.decprec), 15, _xlpm.decprec), _xlpm.calc, (_xlpm.value - _xlpm.min) / (_xlpm.max - _xlpm.min), ROUND(_xlpm.calc, _xlpm.decprec)))</definedName>
    <definedName name="Stats.STAT_PCT_REMAP">_xlfn.LAMBDA(_xlpm.StartMin,_xlpm.StartMax,_xlpm.Target,_xlpm.EndMin,_xlpm.EndMax,_xlop.decprec, _xlfn.LET(_xlpm.decprec, IF(_xlfn.ISOMITTED(_xlpm.decprec), 15, _xlpm.decprec), _xlpm.pct, (_xlpm.Target - _xlpm.StartMin) / (_xlpm.StartMax - _xlpm.StartMin), _xlpm.calc, _xlpm.pct * (_xlpm.EndMax - _xlpm.EndMin) + _xlpm.EndMin, ROUND(_xlpm.calc, _xlpm.decprec)))</definedName>
    <definedName name="Stats.STAT_QNTILES">_xlfn.LAMBDA(_xlpm.range,_xlop.divisions,_xlop.mode,_xlop.style,_xlop.precision, _xlfn.LET(_xlpm.divisions, IF(_xlfn.ISOMITTED(_xlpm.divisions), 10, _xlpm.divisions), _xlpm.mode, IF(_xlfn.ISOMITTED(_xlpm.mode), "", UPPER(_xlpm.mode)), _xlpm.style, IF(_xlfn.ISOMITTED(_xlpm.style), "ALL", UPPER(_xlpm.style)), _xlpm.precision, IF(_xlfn.ISOMITTED(_xlpm.precision), 3, _xlpm.precision), _xlpm.countVals, COUNT(_xlpm.range), _xlpm.isValid, ISNUMBER(_xlpm.divisions) * ISNUMBER(_xlpm.precision), IF(_xlpm.countVals = 0, SQRT("a"), IF(OR(NOT(_xlpm.isValid), _xlpm.divisions &lt; 1), SQRT(-1), _xlfn.LET(_xlpm.pctiles, _xlfn.SWITCH(_xlpm.style, "BIN", _xlfn.SEQUENCE(_xlpm.divisions - 1, 1, 1) / _xlpm.divisions, _xlfn.SEQUENCE(_xlpm.divisions + 1, 1, 0) / _xlpm.divisions), _xlpm.pct_labels, TEXT(_xlpm.pctiles, "0%"), _xlpm.pct_vals, ROUND(_xlfn.PERCENTILE.INC(_xlpm.range, _xlpm.pctiles), _xlpm.precision), IF(_xlpm.mode = "LBL", CHOOSE({1,2}, _xlpm.pct_labels, VALUE(_xlpm.pct_vals)), _xlfn.TOCOL(_xlpm.pct_vals)))))))</definedName>
    <definedName name="Stats.STAT_RND_BENFORD">_xlfn.LAMBDA(_xlop.digits, _xlfn.LET(_xlpm.digits, IF(_xlfn.ISOMITTED(_xlpm.digits), 1, _xlpm.digits), _xlpm.numlist, _xlfn.SEQUENCE(9, , 1, 1), _xlpm.problist, {0.301,0.477,0.602,0.699,0.778,0.845,0.903,0.954,1}, _xlpm.rand_nums, _xlfn.RANDARRAY(_xlpm.digits, 1), _xlpm.indices, MATCH(_xlfn.XLOOKUP(_xlpm.rand_nums, _xlpm.problist, _xlpm.problist, , 1), _xlpm.problist, 1), _xlpm.digits_generated, INDEX(_xlpm.numlist, _xlpm.indices), _xlpm.output, IF(_xlpm.digits = 1, VALUE(_xlpm.digits_generated), VALUE(_xlfn.TEXTJOIN("", TRUE, _xlpm.digits_generated))), _xlpm.output))</definedName>
    <definedName name="Stats.STAT_SELF_WTD_AVG">_xlfn.LAMBDA(_xlpm.range, _xlfn.LET(_xlpm.sum_vals, SUM(_xlpm.range), _xlpm.result, IF(_xlpm.sum_vals = 0, NA(), SUMPRODUCT(_xlpm.range, _xlpm.range) / _xlpm.sum_vals), _xlpm.result))</definedName>
    <definedName name="Stats.STAT_SHAPE">_xlfn.LAMBDA(_xlpm.range,_xlop.label,_xlop.prec, _xlfn.LET(_xlpm.label, IF(_xlfn.ISOMITTED(_xlpm.label), "", UPPER(_xlpm.label)), _xlpm.prec, IF(_xlfn.ISOMITTED(_xlpm.prec), 3, _xlpm.prec), _xlpm.count_val, COUNT(_xlpm.range), _xlpm.μ, IF(_xlpm.count_val &gt; 0, AVERAGE(_xlpm.range), NA()), _xlpm.med, IF(_xlpm.count_val &gt; 0, MEDIAN(_xlpm.range), NA()), _xlpm.skew, IF(_xlpm.count_val &gt; 2, _xlfn.SKEW.P(_xlpm.range), NA()), _xlpm.kurt, IF(_xlpm.count_val &gt; 3, KURT(_xlpm.range), NA()), _xlpm.raw_vals, _xlfn.VSTACK(_xlpm.μ, _xlpm.med, _xlpm.skew, _xlpm.kurt), _xlpm.rounded_vals, ROUND(_xlpm.raw_vals, _xlpm.prec), _xlpm.labels, _xlfn.VSTACK("Mean (μ)", "Median", "Skew (P)", "Kurtosis (P)"), _xlpm.output, IF(_xlpm.label = "LBL", _xlfn.HSTACK(_xlpm.labels, _xlpm.rounded_vals), _xlpm.rounded_vals), _xlpm.output))</definedName>
    <definedName name="Stats.STAT_STDERR">_xlfn.LAMBDA(_xlpm.array,_xlop.mode,_xlop.label,_xlop.precision, _xlfn.LET(_xlpm.precision, IF(_xlfn.ISOMITTED(_xlpm.precision), 3, _xlpm.precision), _xlpm.label, IF(_xlfn.ISOMITTED(_xlpm.label), "", _xlpm.label), _xlpm.mode, IF(_xlfn.ISOMITTED(_xlpm.mode), "pop", LOWER(_xlpm.mode)), _xlpm.stderr, _xlfn.SWITCH(_xlpm.mode, "pop", _xlfn.STDEV.P(_xlpm.array) / SQRT(COUNTA(_xlpm.array)), "samp", _xlfn.STDEV.S(_xlpm.array) / SQRT(COUNTA(_xlpm.array)), _xlfn.STDEV.P(_xlpm.array) / SQRT(COUNTA(_xlpm.array))), _xlpm.result, ROUND(_xlpm.stderr, _xlpm.precision), IF(_xlpm.label = "lbl", "Standard Error: " &amp; _xlpm.result, _xlpm.result)))</definedName>
    <definedName name="Stats.STAT_SUMMARY">_xlfn.LAMBDA(_xlpm.range,_xlop.mode,_xlop.label,_xlop.prec, _xlfn.LET(_xlpm.raw_mode, IF(_xlfn.ISOMITTED(_xlpm.mode), "SPAN", UPPER(_xlpm.mode)), _xlpm.mode, IF(OR(_xlpm.raw_mode = "SMRY", _xlpm.raw_mode = "SPAN"), _xlpm.raw_mode, 1 / 0), _xlpm.label, IF(_xlfn.ISOMITTED(_xlpm.label), "", UPPER(_xlpm.label)), _xlpm.prec, IF(_xlfn.ISOMITTED(_xlpm.prec), 3, _xlpm.prec), _xlpm.μ, AVERAGE(_xlpm.range), _xlpm.σ, _xlfn.STDEV.P(_xlpm.range), _xlpm.min_val, MIN(_xlpm.range), _xlpm.max_val, MAX(_xlpm.range), _xlpm.med_val, MEDIAN(_xlpm.range), _xlpm.μ_minus_σ, _xlpm.μ - _xlpm.σ, _xlpm.μ_plus_σ, _xlpm.μ + _xlpm.σ, _xlpm.smry_vals, _xlfn.VSTACK(_xlpm.min_val, _xlpm.μ, _xlpm.med_val, _xlpm.max_val, _xlpm.σ), _xlpm.smry_labels, _xlfn.VSTACK("Min", "Mean (μ)", "Median", "Max", "Stdev (σ)"), _xlpm.span_vals, _xlfn.VSTACK(_xlpm.min_val, _xlpm.μ_minus_σ, _xlpm.μ, _xlpm.μ_plus_σ, _xlpm.max_val, _xlpm.σ), _xlpm.span_labels, _xlfn.VSTACK("Min", "μ − σ", "Mean (μ)", "μ + σ", "Max", "Stdev (σ)"), _xlpm.selected_vals, IF(_xlpm.mode = "SPAN", _xlpm.span_vals, _xlpm.smry_vals), _xlpm.selected_labels, IF(_xlpm.mode = "SPAN", _xlpm.span_labels, _xlpm.smry_labels), _xlpm.rounded_vals, ROUND(_xlpm.selected_vals, _xlpm.prec), _xlpm.result, IF(_xlpm.label = "LBL", _xlfn.HSTACK(_xlpm.selected_labels, _xlpm.rounded_vals), _xlpm.rounded_vals), _xlpm.result))</definedName>
    <definedName name="Stats.STAT_VAL_BRACKET">_xlfn.LAMBDA(_xlpm.TestArray,_xlpm.Target,_xlop.incl,_xlop.mode,_xlop.lbl,_xlop.prec, _xlfn.LET(_xlpm.prec, IF(_xlfn.ISOMITTED(_xlpm.prec), 3, _xlpm.prec), _xlpm.mode, UPPER(IF(_xlfn.ISOMITTED(_xlpm.mode), "VER", _xlpm.mode)), _xlpm.lbl, UPPER(IF(_xlfn.ISOMITTED(_xlpm.lbl), "", _xlpm.lbl)), _xlpm.lbl_val, _xlpm.lbl = "LBL", _xlpm.incl, UPPER(IF(_xlfn.ISOMITTED(_xlpm.incl), "INC", _xlpm.incl)), _xlpm.lower, MAX(_xlfn._xlws.FILTER(_xlpm.TestArray, _xlpm.TestArray &lt; _xlpm.Target)), _xlpm.upper, MIN(_xlfn._xlws.FILTER(_xlpm.TestArray, _xlpm.TestArray &gt; _xlpm.Target)), _xlpm.val_array, IF(_xlpm.incl = "INC", _xlfn.VSTACK(_xlpm.lower, _xlpm.Target, _xlpm.upper), _xlfn.VSTACK(_xlpm.lower, _xlpm.upper)), _xlpm.val_array_r, ROUND(_xlpm.val_array, _xlpm.prec), _xlpm.lbl_array, IF(_xlpm.incl = "INC", {"Lower";"Target";"Upper"}, {"Lower";"Upper"}), _xlpm.output, _xlfn.SWITCH(_xlpm.mode, "STR", "(" &amp; _xlfn.TEXTJOIN(" : ", , FIXED(_xlpm.val_array_r, _xlpm.prec)) &amp; ")", "HOR", IF(_xlpm.lbl_val, _xlfn.VSTACK(TRANSPOSE(_xlpm.lbl_array), TRANSPOSE(_xlpm.val_array_r)), TRANSPOSE(_xlpm.val_array_r)), "VER", IF(_xlpm.lbl_val, _xlfn.HSTACK(_xlpm.lbl_array, _xlpm.val_array_r), _xlpm.val_array_r), _xlpm.val_array_r), _xlpm.output))</definedName>
    <definedName name="Stats.STAT_VALUE_OF_PCT">_xlfn.LAMBDA(_xlpm.min,_xlpm.max,_xlpm.pct,_xlop.decprec, _xlfn.LET(_xlpm.decprec, IF(_xlfn.ISOMITTED(_xlpm.decprec), 15, _xlpm.decprec), _xlpm.calc, _xlpm.pct * (_xlpm.max - _xlpm.min) + _xlpm.min, ROUND(_xlpm.calc, _xlpm.decprec)))</definedName>
    <definedName name="Stats.STAT_VOLUME">_xlfn.LAMBDA(_xlpm.range,_xlop.label,_xlop.prec, _xlfn.LET(_xlpm.label, IF(_xlfn.ISOMITTED(_xlpm.label), "", UPPER(_xlpm.label)), _xlpm.prec, IF(_xlfn.ISOMITTED(_xlpm.prec), 3, _xlpm.prec), _xlpm.count_val, COUNT(_xlpm.range), _xlpm.sum_val, SUM(_xlpm.range), _xlpm.mean_val, IF(_xlpm.count_val &gt; 0, AVERAGE(_xlpm.range), NA()), _xlpm.raw_vals, _xlfn.VSTACK(_xlpm.count_val, _xlpm.sum_val, _xlpm.mean_val), _xlpm.rounded_vals, ROUND(_xlpm.raw_vals, _xlpm.prec), _xlpm.labels, _xlfn.VSTACK("Count", "Sum", "Mean (μ)"), _xlpm.output, IF(_xlpm.label = "LBL", _xlfn.HSTACK(_xlpm.labels, _xlpm.rounded_vals), _xlpm.rounded_vals), _xlpm.output))</definedName>
    <definedName name="Stats.STAT_WTD_AVG">_xlfn.LAMBDA(_xlpm.wts,_xlpm.values, _xlfn.LET(_xlpm.len_match, COUNTA(_xlpm.wts) = COUNTA(_xlpm.values), _xlpm.total_wt, SUM(_xlpm.wts), _xlpm.result, IF(NOT(_xlpm.len_match) + (_xlpm.total_wt = 0), NA(), SUMPRODUCT(_xlpm.wts, _xlpm.values) / _xlpm.total_wt), _xlpm.result))</definedName>
    <definedName name="STATSLIST">_xlfn.LAMBDA(_xlpm.range,_xlop.mode,_xlop.prec, _xlfn.LET(_xlpm.mode, IF(OR(_xlfn.ISOMITTED(_xlpm.mode), _xlpm.mode &gt; 6), 0, _xlpm.mode), _xlpm.prec, IF(_xlfn.ISOMITTED(_xlpm.prec), 3, _xlpm.prec), _xlpm.label_list, TRANSPOSE({"Min","ς⁻","μ","ς⁺","Max","σ","Skew.P","Ct","Range","Midrange","Sum","ẋ"}), _xlpm.stats, TRANSPOSE(CHOOSE({1,2,3,4,5,6,7,8,9,10,11,12}, FIXED(MIN(_xlpm.range), _xlpm.prec), FIXED(AVERAGE(_xlpm.range) - _xlfn.STDEV.P(_xlpm.range), _xlpm.prec), FIXED(AVERAGE(_xlpm.range), _xlpm.prec), FIXED(AVERAGE(_xlpm.range) + _xlfn.STDEV.P(_xlpm.range), _xlpm.prec), FIXED(MAX(_xlpm.range), _xlpm.prec), FIXED(_xlfn.STDEV.P(_xlpm.range), _xlpm.prec), FIXED(_xlfn.SKEW.P(_xlpm.range), _xlpm.prec), FIXED(COUNT(_xlpm.range), 0), FIXED(MAX(_xlpm.range) - MIN(_xlpm.range), _xlpm.prec), FIXED(AVERAGE(MIN(_xlpm.range), MAX(_xlpm.range)), _xlpm.prec), FIXED(SUM(_xlpm.range), _xlpm.prec), FIXED(MEDIAN(_xlpm.range), _xlpm.prec), )), _xlpm.output, CHOOSE({1,2}, _xlpm.label_list, VALUE(_xlpm.stats)), _xlpm.return, _xlfn.SWITCH(_xlpm.mode, 0, _xlpm.output, 1, _xlfn.CHOOSEROWS(_xlpm.output, 1, 5), 2, _xlfn.CHOOSEROWS(_xlpm.output, 1, 3, 5), 3, _xlfn.CHOOSEROWS(_xlpm.output, 1, 2, 3, 4, 5), 4, _xlfn.CHOOSEROWS(_xlpm.output, 1, 2, 3, 4, 5, 11), 5, _xlfn.CHOOSEROWS(_xlpm.output, 1, 2, 3, 4, 5, 6), 6, _xlfn.CHOOSEROWS(_xlpm.output, 1, 2, 3, 4, 5, 6, 11)), _xlpm.return))</definedName>
    <definedName name="STRIP_CHARS">_xlfn.LAMBDA(_xlpm.input, IF(ISERROR(SEARCH("(", _xlpm.input)), _xlpm.input, _xlfn.LET(_xlpm.first_find, SEARCH("(", _xlpm.input), _xlpm.second_find, SEARCH(")", _xlpm.input), _xlpm.new_string, LEFT(_xlpm.input, _xlpm.first_find - 1) &amp; MID(_xlpm.input, _xlpm.second_find + 1, LEN(_xlpm.input)), STRIP_CHARS(_xlpm.new_string))))</definedName>
    <definedName name="SUM_AP">_xlfn.LAMBDA(_xlpm.lbound,_xlpm.length,_xlop.increment,_xlop.mode, _xlfn.LET(_xlpm.mode, IF(OR(_xlfn.ISOMITTED(_xlpm.mode), _xlpm.mode &gt; 1), 0, _xlpm.mode), _xlpm.increment, IF(_xlfn.ISOMITTED(_xlpm.increment), 1, _xlpm.increment), _xlpm.ubound, _xlpm.lbound + (_xlpm.length - 1) * _xlpm.increment, _xlpm.total, (_xlpm.length / 2) * ((2 * _xlpm.lbound) + ((_xlpm.length - 1) * _xlpm.increment)), _xlfn.SWITCH(_xlpm.mode, 0, _xlpm.total, 1, _xlpm.ubound, )))</definedName>
    <definedName name="SUM_INTEGERS">_xlfn.LAMBDA(_xlpm.input,_xlop.mode, _xlfn.LET(_xlpm.mode, IF(OR(_xlfn.ISOMITTED(_xlpm.mode), _xlpm.mode &gt; 2), 0, _xlpm.mode), _xlpm.even_ubound, IF(ISEVEN(_xlpm.input), _xlpm.input, _xlpm.input - 1), _xlpm.odd_ubound, IF(ISODD(_xlpm.input), _xlpm.input, _xlpm.input - 1), _xlpm.output, _xlfn.SWITCH(_xlpm.mode, 0, (_xlpm.input * (_xlpm.input + 1)) / 2, 1, (_xlpm.even_ubound * (_xlpm.even_ubound + 2)) / 4, 2, ((_xlpm.odd_ubound + 1) / 2) ^ 2), _xlpm.output))</definedName>
    <definedName name="SUM_RANGE">_xlfn.LAMBDA(_xlpm.lbound,_xlop.ubound,_xlop.increment, _xlfn.LET(_xlpm.u_bound, IF(_xlfn.ISOMITTED(_xlpm.ubound), _xlpm.lbound, _xlpm.ubound), _xlpm.lbound, IF(_xlfn.ISOMITTED(_xlpm.ubound), 1, _xlpm.lbound), _xlpm.increment, IF(_xlfn.ISOMITTED(_xlpm.increment), 1, _xlpm.increment), _xlpm.length, TRUNC((_xlpm.u_bound - _xlpm.lbound) / _xlpm.increment) + 1, _xlpm.total, (_xlpm.length / 2) * ((2 * _xlpm.lbound) + ((_xlpm.length - 1) * _xlpm.increment)), _xlpm.total))</definedName>
    <definedName name="SUMDIGITS">_xlfn.LAMBDA(_xlpm.input, _xlfn.LET(_xlpm.mode, IF(_xlpm.input &lt; 1, 1, 0), _xlpm.input, _xlfn.SWITCH(_xlpm.mode, 0, TRUNC(_xlpm.input), 1, VALUE(SUBSTITUTE(_xlpm.input, ".", "")), ), IF(AND(_xlpm.input &lt;&gt; 11, _xlpm.input &lt;&gt; 22, _xlpm.input &lt;&gt; 33), SUMPRODUCT(--MID(_xlpm.input, _xlfn.SEQUENCE(LEN(_xlpm.input)), 1)), _xlpm.input)))</definedName>
    <definedName name="SUN.M.KG">_xlfn.LAMBDA(1.98842E+30)</definedName>
    <definedName name="SUN.M.T">_xlfn.LAMBDA(SUN.M.KG() / EARTH.M.KG())</definedName>
    <definedName name="SUN.R.AU">_xlfn.LAMBDA(SUN.R.KM() / AU.KM())</definedName>
    <definedName name="SUN.R.KM">_xlfn.LAMBDA(695700)</definedName>
    <definedName name="SYNODIC">_xlfn.LAMBDA(_xlpm.p,_xlpm.q, ((_xlpm.p * _xlpm.q) / ABS(_xlpm.p - _xlpm.q)))</definedName>
    <definedName name="TABLE_OUT">_xlfn.LAMBDA(_xlop.null, _xlfn.LET(_xlpm.list1, {"A";"B";"C";"D";"F"}, _xlpm.list2, {1;2;3;4;5}, CHOOSE({1,2}, _xlpm.list1, _xlpm.list2)))</definedName>
    <definedName name="Table1">#REF!</definedName>
    <definedName name="TEMP_CF">_xlfn.LAMBDA(_xlpm.c,_xlop.Precision, _xlfn.LET(_xlpm.Precision, IF((_xlfn.ISOMITTED(_xlpm.Precision)) + (_xlpm.Precision &lt; 0), 3, _xlpm.Precision), ROUND(_xlpm.c * (9 / 5) + 32, _xlpm.Precision)))</definedName>
    <definedName name="TEMP_FC">_xlfn.LAMBDA(_xlpm.F,_xlop.Precision, _xlfn.LET(_xlpm.Precision, IF((_xlfn.ISOMITTED(_xlpm.Precision)) + (_xlpm.Precision &lt; 0), 3, _xlpm.Precision), ROUND((_xlpm.F - 32) * (5 / 9), _xlpm.Precision)))</definedName>
    <definedName name="TEST">_xlfn.LAMBDA(_xlpm.input,_xlop.second, _xlfn.LET(_xlpm.First, IF(ROWS(_xlpm.input) &gt; 1, INDEX(_xlpm.input, 1), _xlpm.input), _xlpm.second, IF(_xlfn.ISOMITTED(_xlpm.second), 0, _xlpm.second), _xlpm.result, IF(_xlpm.second = 0, (INDEX(_xlpm.input, 1) - INDEX(_xlpm.input, 2)) / AVERAGE(_xlpm.input), (_xlpm.First - _xlpm.second) / (AVERAGE(_xlpm.First, _xlpm.second))), _xlpm.result))</definedName>
    <definedName name="TEXT_CONDENSE">_xlfn.LAMBDA(_xlpm.input,_xlop.style,_xlop.mode, _xlfn.LET(_xlpm.mode, IF((_xlfn.ISOMITTED(_xlpm.mode)) + (_xlpm.mode &lt; 0) + (_xlpm.mode &gt; 2), 0, _xlpm.mode), _xlpm.style, IF((_xlfn.ISOMITTED(_xlpm.style)) + (_xlpm.style &lt; 0) + (_xlpm.style &gt; 2), 0, _xlpm.style), _xlpm.strip, SUBSTITUTE(_xlpm.input, " ", ""), _xlpm.arr, MID(_xlpm.strip, _xlfn.SEQUENCE(LEN(_xlpm.strip)), 1), _xlpm.styled, _xlfn.SWITCH(_xlpm.style, 0, _xlpm.arr, 1, LOWER(_xlpm.arr), 2, UPPER(_xlpm.arr)), _xlpm.result, _xlfn.SWITCH(_xlpm.mode, 0, _xlfn.CONCAT(_xlpm.styled), 1, _xlfn.CONCAT(_xlfn.UNIQUE(_xlpm.styled)), 2, _xlfn.CONCAT(_xlfn._xlws.SORT(_xlfn.UNIQUE(_xlpm.styled)))), _xlpm.result))</definedName>
    <definedName name="TEXTBETWEEN">_xlfn.LAMBDA(_xlpm.input,_xlpm.delim1,_xlop.delim2,_xlop.includeDelims, _xlfn.LET(_xlpm.delim2, IF(_xlfn.ISOMITTED(_xlpm.delim2), _xlpm.delim1, _xlpm.delim2), _xlpm.includeDelims, IF(_xlfn.ISOMITTED(_xlpm.includeDelims), FALSE, _xlpm.includeDelims), _xlpm.startPos, FIND(_xlpm.delim1, _xlpm.input), _xlpm.endPos, FIND(_xlpm.delim2, _xlpm.input, _xlpm.startPos + LEN(_xlpm.delim1)), _xlpm.betweenText, MID(_xlpm.input, _xlpm.startPos + LEN(_xlpm.delim1), _xlpm.endPos - _xlpm.startPos - LEN(_xlpm.delim1)), _xlpm.result, IF(_xlpm.includeDelims, _xlpm.delim1 &amp; _xlpm.betweenText &amp; _xlpm.delim2, _xlpm.betweenText), _xlpm.output, IFERROR(_xlpm.result, "#DELIM!"), _xlpm.output))</definedName>
    <definedName name="TEXTREVERSE">_xlfn.LAMBDA(_xlpm.string, _xlfn.LET(_xlpm.stringLength, LEN(_xlpm.string), _xlpm.substring, RIGHT(_xlpm.string, _xlpm.stringLength - 1), _xlpm.firstChar, LEFT(_xlpm.string, 1), IF(LEN(_xlpm.string) = 0, _xlpm.string, TEXTREVERSE(_xlpm.substring) &amp; _xlpm.firstChar)))</definedName>
    <definedName name="TIME_DIFF">_xlfn.LAMBDA(_xlpm.input,_xlop.second, _xlfn.LET(_xlpm.left, IF(_xlpm.second = 0, _xlfn.CHOOSECOLS(_xlpm.input, 1), _xlpm.input), _xlpm.right, IF(_xlpm.second = 0, _xlfn.CHOOSECOLS(_xlpm.input, 2), _xlpm.second), _xlpm.suff_l, UPPER(RIGHT(_xlpm.left, 2)), _xlpm.h_part_l, IFERROR(VALUE(_xlfn.TEXTBEFORE(_xlpm.left, ":")), 0), _xlpm.m_part_l, IFERROR(VALUE(LEFT(_xlfn.TEXTAFTER(_xlpm.left, ":"), 2)), 0), _xlpm.hrs_l, IF(AND(_xlpm.suff_l = "PM", _xlpm.h_part_l &lt; 12), _xlpm.h_part_l + 12, _xlpm.h_part_l), _xlpm.mns_l, _xlpm.m_part_l / 60, _xlpm.time_l, _xlpm.hrs_l + _xlpm.mns_l, _xlpm.suff_r, UPPER(RIGHT(_xlpm.right, 2)), _xlpm.h_part_r, IFERROR(VALUE(_xlfn.TEXTBEFORE(_xlpm.right, ":")), 0), _xlpm.m_part_r, IFERROR(VALUE(LEFT(_xlfn.TEXTAFTER(_xlpm.right, ":"), 2)), 0), _xlpm.hrs_r, IF(AND(_xlpm.suff_r = "PM", _xlpm.h_part_r &lt; 12), _xlpm.h_part_r + 12, _xlpm.h_part_r), _xlpm.mns_r, _xlpm.m_part_r / 60, _xlpm.time_r, _xlpm.hrs_r + _xlpm.mns_r, _xlpm.output, IFERROR(ABS(_xlpm.time_l - _xlpm.time_r), ""), _xlpm.output))</definedName>
    <definedName name="TIME_FROMMIL">_xlfn.LAMBDA(_xlpm.input, _xlfn.LET(_xlpm.conv, TEXT(_xlpm.input, "0000"), _xlpm.h_part, LEFT(_xlpm.conv, 2), _xlpm.m_part, RIGHT(_xlpm.conv, 2), _xlpm.suff, IF(VALUE(_xlpm.h_part) &gt;= 12, " PM", " AM"), _xlpm.hrs, IF(VALUE(_xlpm.h_part) &gt; 12, VALUE(_xlpm.h_part - 12), VALUE(_xlpm.h_part)), _xlpm.output, TEXT(CONCATENATE(_xlpm.hrs, ":", _xlpm.m_part, _xlpm.suff), "HH:MM AM/PM"), _xlpm.output))</definedName>
    <definedName name="TIME_TODEC">_xlfn.LAMBDA(_xlpm.input, _xlfn.LET(_xlpm.suff, UPPER(RIGHT(_xlpm.input, 2)), _xlpm.h_part, IFERROR(VALUE(_xlfn.TEXTBEFORE(_xlpm.input, ":")), 0), _xlpm.m_part, IFERROR(VALUE(LEFT(_xlfn.TEXTAFTER(_xlpm.input, ":"), 2)), 0), _xlpm.hrs, IF(AND(_xlpm.suff = "PM", _xlpm.h_part &lt; 12), _xlpm.h_part + 12, _xlpm.h_part), _xlpm.mns, _xlpm.m_part / 60, _xlpm.output, _xlpm.hrs + _xlpm.mns, _xlpm.output))</definedName>
    <definedName name="TIME_TOMIL">_xlfn.LAMBDA(_xlpm.input, _xlfn.LET(_xlpm.converted, TEXT(_xlpm.input, "HH:MM AM/PM"), _xlpm.suff, RIGHT(_xlpm.converted, 2), _xlpm.h_part, IFERROR(VALUE(_xlfn.TEXTBEFORE(_xlpm.converted, ":")), 0), _xlpm.m_part, IFERROR(VALUE(LEFT(_xlfn.TEXTAFTER(_xlpm.converted, ":"), 2)), 0), _xlpm.hrs, IF(AND(_xlpm.suff = "PM", _xlpm.h_part &lt; 12), _xlpm.h_part + 12, _xlpm.h_part), _xlpm.mns, _xlpm.m_part, _xlpm.output, TEXT((_xlpm.hrs * 100) + _xlpm.mns, "0###"), _xlpm.output))</definedName>
    <definedName name="TIMECONVERSION">_xlfn.LAMBDA(_xlpm.inputTime,_xlpm.timezone1,_xlpm.timezone2, _xlfn.LET(_xlpm.zone1Offset, TIMEOFFSET(_xlpm.timezone1), _xlpm.zone2Offset, TIMEOFFSET(_xlpm.timezone2), _xlpm.delta, _xlpm.zone1Offset - _xlpm.zone2Offset, _xlpm.timeDifference, TIME(ABS(_xlpm.delta), 0, 0), IF(_xlpm.delta &lt; 0, _xlpm.inputTime + _xlpm.timeDifference, _xlpm.inputTime - _xlpm.timeDifference)))</definedName>
    <definedName name="TIMEOFFSET">_xlfn.LAMBDA(_xlpm.timezone, _xlfn.LET(_xlpm.KST, 9, _xlpm.PST, -8, _xlpm.EST, -5, _xlpm.CST_AS, 8, _xlpm.GMT, 0, _xlpm.CST_Cen, -6, _xlfn.IFS(_xlpm.timezone = "Pacific Time Zone", _xlpm.PST, _xlpm.timezone = "Eastern Time Zone", _xlpm.EST, _xlpm.timezone = "Korea Standard Time", _xlpm.KST, _xlpm.timezone = "China Standard Time", _xlpm.CST_AS, _xlpm.timezone = "Greenwich Mean Time Zone", _xlpm.GMT, _xlpm.timezone = "British Summer Time", _xlpm.GMT, _xlpm.timezone = "Central Time Zone", _xlpm.CST_Cen)))</definedName>
    <definedName name="TO_MANTISSA">_xlfn.LAMBDA(_xlpm.input,_xlop.Precision, _xlfn.LET(_xlpm.Precision, IF(_xlfn.ISOMITTED(_xlpm.Precision), LEN(_xlpm.input) + 3, _xlpm.Precision), _xlpm.output, IF(_xlpm.input &lt; 1, _xlpm.input, _xlpm.input / 10 ^ (TRUNC(LOG(_xlpm.input)) + 1)), _xlpm.output))</definedName>
    <definedName name="TOFRAC">_xlfn.LAMBDA(_xlpm.input,_xlop.denom, _xlfn.LET(_xlpm.denom, IF(_xlfn.ISOMITTED(_xlpm.denom), 64, TRUNC(_xlpm.denom)), _xlpm.comfact, GCD(TRUNC(_xlpm.input * _xlpm.denom), _xlpm.denom), _xlpm.numfinal, TRUNC(_xlpm.input * _xlpm.denom / _xlpm.comfact), _xlpm.denomfinal, _xlpm.denom / _xlpm.comfact, _xlpm.output, IF(_xlpm.numfinal = 0, "#NONE!", TEXT(_xlpm.numfinal, "0") &amp; "/" &amp; TEXT(_xlpm.denomfinal, "0")), _xlpm.output))</definedName>
    <definedName name="UNIQUESORT">_xlfn.LAMBDA(_xlpm.range,_xlop.order, _xlfn.LET(_xlpm.order, IF(OR(_xlfn.ISOMITTED(_xlpm.order), _xlpm.order &gt; 1), 0, _xlpm.order), _xlpm.list, _xlfn.TOCOL(_xlpm.range, 3), _xlpm.sorted, _xlfn.SWITCH(_xlpm.order, 0, _xlfn._xlws.SORT(_xlfn.UNIQUE(_xlpm.list)), 1, _xlfn._xlws.SORT(_xlfn.UNIQUE(_xlpm.list), , -1), ), _xlpm.sorted))</definedName>
    <definedName name="V_INTERSECT">_xlfn.LAMBDA(_xlpm.list,_xlpm.check,_xlop.mode, _xlfn.LET(_xlpm.mode, IF(OR(_xlfn.ISOMITTED(_xlpm.mode), _xlpm.mode &gt; 1), 0, 1), _xlpm.last_check, ISNA(_xlfn.BYROW(_xlpm.check, _xlfn.LAMBDA(_xlpm.y, _xlfn.XLOOKUP(_xlpm.y, _xlpm.list, _xlpm.list)))), _xlpm.last_list, _xlfn._xlws.FILTER(_xlpm.check, _xlpm.last_check = FALSE, ""), _xlpm.output, _xlfn.SWITCH(_xlpm.mode, 0, _xlpm.last_list, 1, _xlfn._xlws.SORT(_xlpm.last_list)), _xlpm.output))</definedName>
    <definedName name="V_RELCOMP">_xlfn.LAMBDA(_xlpm.list,_xlpm.check,_xlop.mode, _xlfn.LET(_xlpm.mode, IF(OR(_xlfn.ISOMITTED(_xlpm.mode), _xlpm.mode &gt; 1), 0, _xlpm.mode), _xlpm.a, _xlfn.SWITCH(_xlpm.mode, 0, _xlfn.TOCOL(_xlpm.list, 3), 1, _xlfn.TOCOL(_xlpm.check, 3), ), _xlpm.b, _xlfn.SWITCH(_xlpm.mode, 0, _xlpm.check, 1, _xlpm.list), _xlpm.result, ISNA(_xlfn.BYROW(_xlpm.a, _xlfn.LAMBDA(_xlpm.x, _xlfn.XLOOKUP(_xlpm.x, _xlpm.b, _xlpm.b)))), _xlpm.finlist, IFERROR(_xlfn._xlws.FILTER(_xlpm.a, _xlpm.result = TRUE), "NONE"), _xlpm.finlist))</definedName>
    <definedName name="V_SYMDIFF">_xlfn.LAMBDA(_xlpm.list,_xlpm.check, _xlfn.LET(_xlpm.first_check, ISNA(_xlfn.BYROW(_xlpm.list, _xlfn.LAMBDA(_xlpm.y, _xlfn.XLOOKUP(_xlpm.y, _xlpm.check, _xlpm.check)))), _xlpm.first_list, _xlfn._xlws.SORT(_xlfn._xlws.FILTER(_xlpm.list, _xlpm.first_check = TRUE, "")), _xlpm.last_check, ISNA(_xlfn.BYROW(_xlpm.check, _xlfn.LAMBDA(_xlpm.y, _xlfn.XLOOKUP(_xlpm.y, _xlpm.list, _xlpm.list)))), _xlpm.last_list, _xlfn._xlws.SORT(_xlfn._xlws.FILTER(_xlpm.check, _xlpm.last_check = TRUE, "")), _xlpm.fin_list, _xlfn.VSTACK(_xlpm.first_list, _xlpm.last_list), _xlpm.fin_list))</definedName>
    <definedName name="V_UNION">_xlfn.LAMBDA(_xlpm.list,_xlpm.check,_xlop.mode,_xlop.sort, _xlfn.LET(_xlpm.mode, IF(OR(_xlfn.ISOMITTED(_xlpm.mode), _xlpm.mode &gt; 1), 0, _xlpm.mode), _xlpm.sort, IF(OR(_xlfn.ISOMITTED(_xlpm.sort), _xlpm.sort &gt; 1), 0, _xlpm.sort), _xlpm.result, _xlfn.SWITCH(_xlpm.mode, 0, _xlfn.TOCOL(_xlfn.VSTACK(_xlpm.list, _xlpm.check), 3), 1, _xlfn.UNIQUE(_xlfn.TOCOL(_xlfn.VSTACK(_xlpm.list, _xlpm.check), 3))), _xlfn.SWITCH(_xlpm.sort, 0, _xlpm.result, 1, _xlfn._xlws.SORT(_xlpm.result))))</definedName>
    <definedName name="VENN">_xlfn.LAMBDA(_xlpm.control,_xlpm.test, _xlfn.LET(_xlpm.control_count, COUNTA(_xlpm.control), _xlpm.test_count, COUNTA(_xlpm.test), _xlpm.x_list, _xlfn.XMATCH(_xlpm.test, _xlpm.control), _xlpm.xmatch_count, COUNT(_xlpm.x_list), _xlpm.xmatch_counta, COUNTA(_xlpm.x_list), _xlpm.xmatch_countu, COUNT(_xlfn.UNIQUE(_xlpm.x_list)), _xlpm.test00, _xlpm.xmatch_count = 0, _xlpm.test01, _xlpm.xmatch_countu = _xlpm.xmatch_count, _xlpm.test02, _xlpm.test_count = _xlpm.xmatch_count, _xlpm.test03, _xlpm.xmatch_count &lt;= _xlpm.xmatch_counta, _xlpm.test04, _xlpm.test_count &lt;= _xlpm.control_count, _xlpm.output, IF(AND(_xlpm.xmatch_count = 0, _xlpm.test_count = _xlpm.control_count, TRUE), "EQUIV", _xlfn.IFS(AND(_xlpm.xmatch_countu = _xlpm.xmatch_count, _xlpm.test_count = _xlpm.xmatch_count, _xlpm.xmatch_count = _xlpm.xmatch_counta, _xlpm.test_count = _xlpm.control_count), "EQUAL", OR(AND(_xlpm.xmatch_countu &lt; _xlpm.xmatch_count, _xlpm.test_count = _xlpm.xmatch_count, _xlpm.xmatch_count = _xlpm.xmatch_counta, _xlpm.test_count &lt;= _xlpm.control_count), AND(_xlpm.xmatch_countu &lt;= _xlpm.xmatch_count, _xlpm.test_count = _xlpm.xmatch_count, _xlpm.xmatch_count = _xlpm.xmatch_counta, _xlpm.test_count &lt;= _xlpm.control_count)), "PRSUB", OR(AND(_xlpm.xmatch_countu &lt;= _xlpm.xmatch_count, _xlpm.test_count &gt; _xlpm.xmatch_count, _xlpm.xmatch_count &lt; _xlpm.xmatch_counta, _xlpm.test_count = _xlpm.control_count), AND(_xlpm.xmatch_countu &lt;= _xlpm.xmatch_count, _xlpm.test_count &gt; _xlpm.xmatch_count, _xlpm.xmatch_count &lt; _xlpm.xmatch_counta, _xlpm.test_count &lt;&gt; _xlpm.control_count)), "INTER", TRUE, "FAILURE")), _xlpm.output))</definedName>
    <definedName name="XfrPct" comment="min, pct, max">_xlfn.LAMBDA(_xlpm.min,_xlpm.pct,_xlpm.max,(_xlpm.pct*(_xlpm.max-_xlpm.min)+_xlpm.min))</definedName>
    <definedName name="XLCM">_xlfn.LAMBDA(_xlpm.a,_xlpm.b, _xlfn.LET(_xlpm.scale, 10 ^ 6, _xlpm.ascale, _xlpm.a * _xlpm.scale, _xlpm.bscale, _xlpm.b * _xlpm.scale, _xlpm.prod, _xlpm.ascale * _xlpm.bscale, _xlpm.gcd, GCD(_xlpm.ascale, _xlpm.bscale), _xlpm.xlcm, _xlpm.prod / _xlpm.gcd, _xlpm.result, _xlpm.xlcm / _xlpm.scale, _xlpm.result))</definedName>
    <definedName name="XXLCM">_xlfn.LAMBDA(_xlpm.range, _xlfn.LET(_xlpm.scale, 10 ^ 6, _xlpm.scaled, _xlfn.MAP(_xlpm.range, _xlfn.LAMBDA(_xlpm.x, ROUND(_xlpm.x * _xlpm.scale, 0))), _xlpm.scaledLCM, _xlfn.REDUCE(1, _xlpm.scaled, _xlfn.LAMBDA(_xlpm.acc,_xlpm.x, (_xlpm.acc * _xlpm.x) / GCD(_xlpm.acc, _xlpm.x))), _xlpm.scaledLCM / _xlpm.scale))</definedName>
    <definedName name="YAHTZEE">_xlfn.LAMBDA(_xlop.null, _xlfn.LET(_xlpm.array, _xlfn.MAKEARRAY(1, 5, _xlfn.LAMBDA(_xlpm.r,_xlpm.c, RANDBETWEEN(1, 6))), _xlfn.TEXTJOIN("-", , _xlpm.array)))</definedName>
    <definedName name="YEARS_DHMS">_xlfn.LAMBDA(_xlpm.DecimalYear,_xlop.Type,_xlop.Precision, _xlfn.LET(_xlpm.Type, IF(OR(_xlfn.ISOMITTED(_xlpm.Type), _xlpm.Type &gt; 3), 0, _xlpm.Type), _xlpm.year_len, _xlfn.SWITCH(_xlpm.Type, 0, 365, 1, 365.25219, 2, 365.25, 3, 365.256363004, ), _xlpm.Precision, IF(_xlfn.ISOMITTED(_xlpm.Precision), 3, _xlpm.Precision), _xlpm.TotalDays, _xlpm.DecimalYear * _xlpm.year_len, _xlpm.Days, TRUNC(_xlpm.TotalDays), _xlpm.FracDays, _xlpm.TotalDays - _xlpm.Days, _xlpm.TotalHours, _xlpm.FracDays * 24, _xlpm.Hours, TRUNC(_xlpm.TotalHours), _xlpm.FracHours, _xlpm.TotalHours - _xlpm.Hours, _xlpm.TotalMinutes, _xlpm.FracHours * 60, _xlpm.Minutes, TRUNC(_xlpm.TotalMinutes), _xlpm.FracMinutes, _xlpm.TotalMinutes - _xlpm.Minutes, _xlpm.Seconds, FIXED(_xlpm.FracMinutes * 60, _xlpm.Precision), _xlpm.Days &amp; "d " &amp; _xlpm.Hours &amp; "h " &amp; _xlpm.Minutes &amp; "m " &amp; FIXED(_xlpm.Seconds, _xlpm.Precision) &amp; "s"))</definedName>
    <definedName name="YEARS_YDHMS">_xlfn.LAMBDA(_xlpm.DecimalYear,_xlop.Type,_xlop.Precision, _xlfn.LET(_xlpm.year_len, _xlfn.SWITCH(_xlpm.Type, 0, 365, 1, 365.25219, 2, 365.25, 3, 365.256363004, ), _xlpm.Precision, IF(_xlfn.ISOMITTED(_xlpm.Precision), 3, _xlpm.Precision), _xlpm.Days, (_xlpm.DecimalYear - TRUNC(_xlpm.DecimalYear)) * _xlpm.year_len, _xlpm.Hours, MOD(_xlpm.Days * 24, 24), _xlpm.Minutes, MOD(_xlpm.Days * 1440, 60), _xlpm.Seconds, MOD(_xlpm.Days * 86400, 60), TRUNC(_xlpm.DecimalYear) &amp; "y " &amp; TRUNC(_xlpm.Days) &amp; "d " &amp; TRUNC(_xlpm.Hours) &amp; "h " &amp; TRUNC(_xlpm.Minutes) &amp; "m " &amp; FIXED(_xlpm.Seconds, _xlpm.Precision) &amp; "s"))</definedName>
    <definedName name="YR.CAL.D">_xlfn.LAMBDA(365)</definedName>
    <definedName name="YR.CAL.S">_xlfn.LAMBDA(YR.CAL.D() * DAY.EPH.S())</definedName>
    <definedName name="YR.GRG.D">_xlfn.LAMBDA(365.2425)</definedName>
    <definedName name="YR.GRG.S">_xlfn.LAMBDA(YR.GRG.D() * DAY.EPH.S())</definedName>
    <definedName name="YR.JUL.D">_xlfn.LAMBDA(365.25)</definedName>
    <definedName name="YR.JUL.S">_xlfn.LAMBDA(YR.JUL.D() * DAY.EPH.S())</definedName>
    <definedName name="YR.SID.D">_xlfn.LAMBDA(365.256363004)</definedName>
    <definedName name="YR.SID.S">_xlfn.LAMBDA(YR.SID.D() * DAY.EPH.S())</definedName>
    <definedName name="YR.TRP.D">_xlfn.LAMBDA(365.242190402)</definedName>
    <definedName name="YR.TRP.S">_xlfn.LAMBDA(YR.TRP.D() * DAY.EPH.S())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4" i="43" l="1" a="1"/>
  <c r="P34" i="43" s="1"/>
  <c r="P35" i="43" a="1"/>
  <c r="P35" i="43" s="1"/>
  <c r="P36" i="43" a="1"/>
  <c r="P36" i="43" s="1"/>
  <c r="P37" i="43" a="1"/>
  <c r="P37" i="43" s="1"/>
  <c r="P38" i="43" a="1"/>
  <c r="P38" i="43" s="1"/>
  <c r="P39" i="43" a="1"/>
  <c r="P39" i="43" s="1"/>
  <c r="P40" i="43" a="1"/>
  <c r="P40" i="43" s="1"/>
  <c r="P33" i="43" a="1"/>
  <c r="P33" i="43" s="1"/>
  <c r="P32" i="43" a="1"/>
  <c r="P32" i="43" s="1"/>
  <c r="K27" i="43" a="1"/>
  <c r="K27" i="43" s="1"/>
  <c r="V85" i="41" a="1"/>
  <c r="V85" i="41" s="1"/>
  <c r="V86" i="41" a="1"/>
  <c r="V86" i="41" s="1"/>
  <c r="V87" i="41" a="1"/>
  <c r="V87" i="41" s="1"/>
  <c r="V88" i="41" a="1"/>
  <c r="V88" i="41" s="1"/>
  <c r="V89" i="41" a="1"/>
  <c r="V89" i="41" s="1"/>
  <c r="R86" i="41"/>
  <c r="Q85" i="41"/>
  <c r="R85" i="41" s="1"/>
  <c r="H35" i="44"/>
  <c r="H34" i="44"/>
  <c r="H33" i="44"/>
  <c r="H32" i="44"/>
  <c r="D31" i="44"/>
  <c r="H31" i="44" s="1"/>
  <c r="H30" i="44"/>
  <c r="H29" i="44"/>
  <c r="H28" i="44"/>
  <c r="H27" i="44"/>
  <c r="C17" i="44"/>
  <c r="C16" i="44"/>
  <c r="C12" i="44"/>
  <c r="C9" i="44"/>
  <c r="C8" i="44"/>
  <c r="C10" i="44" s="1"/>
  <c r="D7" i="44"/>
  <c r="G25" i="44" s="1" a="1"/>
  <c r="I28" i="44" s="1" a="1"/>
  <c r="I28" i="44" s="1"/>
  <c r="D6" i="44"/>
  <c r="C25" i="44" s="1" a="1"/>
  <c r="C2" i="44"/>
  <c r="C11" i="44" s="1"/>
  <c r="C14" i="44" s="1" a="1"/>
  <c r="C14" i="44" s="1"/>
  <c r="C15" i="44" s="1"/>
  <c r="C2" i="43"/>
  <c r="C59" i="41"/>
  <c r="E30" i="44" l="1" a="1"/>
  <c r="E30" i="44" s="1"/>
  <c r="E35" i="44" a="1"/>
  <c r="E35" i="44" s="1"/>
  <c r="I34" i="44" a="1"/>
  <c r="I34" i="44" s="1"/>
  <c r="C19" i="44"/>
  <c r="C18" i="44"/>
  <c r="C20" i="44" s="1"/>
  <c r="E20" i="44" s="1"/>
  <c r="C21" i="44"/>
  <c r="E21" i="44" s="1"/>
  <c r="E32" i="44" a="1"/>
  <c r="E32" i="44" s="1"/>
  <c r="I30" i="44" a="1"/>
  <c r="I30" i="44" s="1"/>
  <c r="G25" i="44"/>
  <c r="I32" i="44" a="1"/>
  <c r="I32" i="44" s="1"/>
  <c r="E29" i="44" a="1"/>
  <c r="E29" i="44" s="1"/>
  <c r="I27" i="44" a="1"/>
  <c r="I27" i="44" s="1"/>
  <c r="I29" i="44" a="1"/>
  <c r="I29" i="44" s="1"/>
  <c r="E34" i="44" a="1"/>
  <c r="E34" i="44" s="1"/>
  <c r="E27" i="44" a="1"/>
  <c r="E27" i="44" s="1"/>
  <c r="E33" i="44" a="1"/>
  <c r="E33" i="44" s="1"/>
  <c r="I31" i="44" a="1"/>
  <c r="I31" i="44" s="1"/>
  <c r="I33" i="44" a="1"/>
  <c r="I33" i="44" s="1"/>
  <c r="I35" i="44" a="1"/>
  <c r="I35" i="44" s="1"/>
  <c r="C25" i="44"/>
  <c r="E31" i="44" a="1"/>
  <c r="E31" i="44" s="1"/>
  <c r="E28" i="44" a="1"/>
  <c r="E28" i="44" s="1"/>
  <c r="H28" i="43"/>
  <c r="H29" i="43"/>
  <c r="H30" i="43"/>
  <c r="H31" i="43"/>
  <c r="H32" i="43"/>
  <c r="H33" i="43"/>
  <c r="H34" i="43"/>
  <c r="H35" i="43"/>
  <c r="H27" i="43"/>
  <c r="D31" i="43"/>
  <c r="D7" i="43"/>
  <c r="G25" i="43" s="1" a="1"/>
  <c r="I28" i="43" s="1" a="1"/>
  <c r="I28" i="43" s="1"/>
  <c r="D6" i="43"/>
  <c r="C25" i="43" s="1" a="1"/>
  <c r="E28" i="43" s="1" a="1"/>
  <c r="E28" i="43" s="1"/>
  <c r="C17" i="43"/>
  <c r="C16" i="43"/>
  <c r="C11" i="43"/>
  <c r="C14" i="43" s="1" a="1"/>
  <c r="C14" i="43" s="1"/>
  <c r="C8" i="43"/>
  <c r="S48" i="41"/>
  <c r="N48" i="41"/>
  <c r="Q109" i="41"/>
  <c r="P91" i="41"/>
  <c r="C74" i="41"/>
  <c r="C73" i="41"/>
  <c r="C69" i="41"/>
  <c r="C68" i="41"/>
  <c r="C71" i="41" s="1" a="1"/>
  <c r="C71" i="41" s="1"/>
  <c r="C66" i="41"/>
  <c r="C65" i="41"/>
  <c r="S49" i="41"/>
  <c r="U56" i="41" s="1" a="1"/>
  <c r="U56" i="41" s="1"/>
  <c r="N49" i="41"/>
  <c r="P52" i="41" s="1" a="1"/>
  <c r="P52" i="41" s="1"/>
  <c r="N46" i="41"/>
  <c r="J50" i="41"/>
  <c r="H33" i="41"/>
  <c r="I50" i="41"/>
  <c r="P83" i="41"/>
  <c r="O96" i="41" s="1"/>
  <c r="P97" i="41" s="1"/>
  <c r="J49" i="41"/>
  <c r="H32" i="41"/>
  <c r="T34" i="41"/>
  <c r="T35" i="41"/>
  <c r="T36" i="41"/>
  <c r="T37" i="41"/>
  <c r="T38" i="41"/>
  <c r="T39" i="41"/>
  <c r="T40" i="41"/>
  <c r="T33" i="41"/>
  <c r="V36" i="41" a="1"/>
  <c r="V36" i="41" s="1"/>
  <c r="V37" i="41" a="1"/>
  <c r="V37" i="41" s="1"/>
  <c r="U34" i="41"/>
  <c r="V34" i="41" s="1" a="1"/>
  <c r="V34" i="41" s="1"/>
  <c r="U35" i="41"/>
  <c r="V35" i="41" s="1" a="1"/>
  <c r="V35" i="41" s="1"/>
  <c r="U36" i="41"/>
  <c r="U37" i="41"/>
  <c r="U38" i="41"/>
  <c r="V38" i="41" s="1" a="1"/>
  <c r="V38" i="41" s="1"/>
  <c r="U39" i="41"/>
  <c r="V39" i="41" s="1" a="1"/>
  <c r="V39" i="41" s="1"/>
  <c r="U40" i="41"/>
  <c r="V40" i="41" s="1" a="1"/>
  <c r="V40" i="41" s="1"/>
  <c r="U33" i="41"/>
  <c r="V33" i="41" s="1" a="1"/>
  <c r="V33" i="41" s="1"/>
  <c r="R32" i="41" a="1"/>
  <c r="R32" i="41" s="1"/>
  <c r="Q28" i="41"/>
  <c r="Q27" i="41"/>
  <c r="Q29" i="41"/>
  <c r="P27" i="41"/>
  <c r="P29" i="41"/>
  <c r="O28" i="41"/>
  <c r="O27" i="41"/>
  <c r="N27" i="41"/>
  <c r="H31" i="41"/>
  <c r="H30" i="41"/>
  <c r="E48" i="41"/>
  <c r="E44" i="41"/>
  <c r="E42" i="41"/>
  <c r="E40" i="41"/>
  <c r="E39" i="41"/>
  <c r="E38" i="41"/>
  <c r="E37" i="41"/>
  <c r="E57" i="41"/>
  <c r="E56" i="41"/>
  <c r="E54" i="41"/>
  <c r="E52" i="41"/>
  <c r="E50" i="41"/>
  <c r="G23" i="41"/>
  <c r="C19" i="41"/>
  <c r="C18" i="41"/>
  <c r="C17" i="41"/>
  <c r="D57" i="41"/>
  <c r="D56" i="41"/>
  <c r="D54" i="41"/>
  <c r="D52" i="41"/>
  <c r="D50" i="41"/>
  <c r="D48" i="41"/>
  <c r="D44" i="41"/>
  <c r="D42" i="41"/>
  <c r="D38" i="41"/>
  <c r="D39" i="41"/>
  <c r="D40" i="41"/>
  <c r="D37" i="41"/>
  <c r="F24" i="41"/>
  <c r="F25" i="41"/>
  <c r="F26" i="41"/>
  <c r="F27" i="41"/>
  <c r="F28" i="41"/>
  <c r="F29" i="41"/>
  <c r="F30" i="41"/>
  <c r="F31" i="41"/>
  <c r="F32" i="41"/>
  <c r="F33" i="41"/>
  <c r="F23" i="41"/>
  <c r="E25" i="41"/>
  <c r="G25" i="41" s="1"/>
  <c r="E26" i="41"/>
  <c r="G26" i="41" s="1"/>
  <c r="E27" i="41"/>
  <c r="G27" i="41" s="1"/>
  <c r="E28" i="41"/>
  <c r="G28" i="41" s="1"/>
  <c r="E29" i="41"/>
  <c r="E30" i="41"/>
  <c r="E31" i="41"/>
  <c r="E32" i="41"/>
  <c r="E33" i="41"/>
  <c r="E24" i="41"/>
  <c r="G24" i="41" s="1"/>
  <c r="D32" i="41"/>
  <c r="D33" i="41"/>
  <c r="D25" i="41"/>
  <c r="D26" i="41"/>
  <c r="D27" i="41"/>
  <c r="D28" i="41"/>
  <c r="D29" i="41"/>
  <c r="D30" i="41"/>
  <c r="D31" i="41"/>
  <c r="D24" i="41"/>
  <c r="J12" i="41"/>
  <c r="I12" i="41"/>
  <c r="E18" i="40"/>
  <c r="E17" i="40"/>
  <c r="F15" i="40"/>
  <c r="F14" i="40"/>
  <c r="F11" i="40"/>
  <c r="F10" i="40"/>
  <c r="F9" i="40"/>
  <c r="E9" i="40"/>
  <c r="D12" i="40" a="1"/>
  <c r="D12" i="40" s="1"/>
  <c r="D10" i="40"/>
  <c r="D11" i="40"/>
  <c r="D9" i="40"/>
  <c r="C12" i="40"/>
  <c r="G24" i="40"/>
  <c r="I24" i="40" s="1"/>
  <c r="J24" i="40" s="1"/>
  <c r="D25" i="40"/>
  <c r="G19" i="40"/>
  <c r="C19" i="40"/>
  <c r="C28" i="40"/>
  <c r="C7" i="40" a="1"/>
  <c r="C7" i="40" s="1"/>
  <c r="B7" i="40"/>
  <c r="G7" i="40" a="1"/>
  <c r="G7" i="40" s="1"/>
  <c r="H7" i="40" s="1"/>
  <c r="G2" i="40" a="1"/>
  <c r="G2" i="40" s="1"/>
  <c r="H3" i="39" a="1"/>
  <c r="H3" i="39" s="1"/>
  <c r="I3" i="39" s="1"/>
  <c r="J3" i="39" s="1"/>
  <c r="K3" i="39" s="1"/>
  <c r="E31" i="43" l="1" a="1"/>
  <c r="E31" i="43" s="1"/>
  <c r="I11" i="39"/>
  <c r="J11" i="39" s="1"/>
  <c r="K11" i="39" s="1"/>
  <c r="I10" i="39"/>
  <c r="J10" i="39" s="1"/>
  <c r="K10" i="39" s="1"/>
  <c r="I5" i="39"/>
  <c r="J5" i="39" s="1"/>
  <c r="K5" i="39" s="1"/>
  <c r="I4" i="39"/>
  <c r="J4" i="39" s="1"/>
  <c r="K4" i="39" s="1"/>
  <c r="I12" i="39"/>
  <c r="J12" i="39" s="1"/>
  <c r="K12" i="39" s="1"/>
  <c r="I9" i="39"/>
  <c r="J9" i="39" s="1"/>
  <c r="K9" i="39" s="1"/>
  <c r="F3" i="44" a="1"/>
  <c r="F3" i="44" s="1"/>
  <c r="H3" i="44" s="1" a="1"/>
  <c r="I7" i="39"/>
  <c r="J7" i="39" s="1"/>
  <c r="K7" i="39" s="1"/>
  <c r="I8" i="39"/>
  <c r="J8" i="39" s="1"/>
  <c r="K8" i="39" s="1"/>
  <c r="I6" i="39"/>
  <c r="J6" i="39" s="1"/>
  <c r="K6" i="39" s="1"/>
  <c r="I35" i="43" a="1"/>
  <c r="I35" i="43" s="1"/>
  <c r="I31" i="43" a="1"/>
  <c r="I31" i="43" s="1"/>
  <c r="I32" i="43" a="1"/>
  <c r="I32" i="43" s="1"/>
  <c r="I30" i="43" a="1"/>
  <c r="I30" i="43" s="1"/>
  <c r="I34" i="43" a="1"/>
  <c r="I34" i="43" s="1"/>
  <c r="I29" i="43" a="1"/>
  <c r="I29" i="43" s="1"/>
  <c r="I33" i="43" a="1"/>
  <c r="I33" i="43" s="1"/>
  <c r="C12" i="43"/>
  <c r="C15" i="43" s="1"/>
  <c r="C9" i="43"/>
  <c r="C10" i="43" s="1"/>
  <c r="E27" i="43" a="1"/>
  <c r="E27" i="43" s="1"/>
  <c r="E35" i="43" a="1"/>
  <c r="E35" i="43" s="1"/>
  <c r="E34" i="43" a="1"/>
  <c r="E34" i="43" s="1"/>
  <c r="E33" i="43" a="1"/>
  <c r="E33" i="43" s="1"/>
  <c r="E32" i="43" a="1"/>
  <c r="E32" i="43" s="1"/>
  <c r="E30" i="43" a="1"/>
  <c r="E30" i="43" s="1"/>
  <c r="E29" i="43" a="1"/>
  <c r="E29" i="43" s="1"/>
  <c r="I27" i="43" a="1"/>
  <c r="I27" i="43" s="1"/>
  <c r="C25" i="43"/>
  <c r="G25" i="43"/>
  <c r="C72" i="41"/>
  <c r="C75" i="41" s="1"/>
  <c r="C67" i="41"/>
  <c r="P51" i="41" a="1"/>
  <c r="P51" i="41" s="1"/>
  <c r="P54" i="41" a="1"/>
  <c r="P54" i="41" s="1"/>
  <c r="P53" i="41" a="1"/>
  <c r="P53" i="41" s="1"/>
  <c r="C77" i="41"/>
  <c r="P84" i="41" s="1"/>
  <c r="U50" i="41" a="1"/>
  <c r="U50" i="41" s="1"/>
  <c r="U52" i="41" a="1"/>
  <c r="U52" i="41" s="1"/>
  <c r="U55" i="41" a="1"/>
  <c r="U55" i="41" s="1"/>
  <c r="U51" i="41" a="1"/>
  <c r="U51" i="41" s="1"/>
  <c r="U57" i="41" a="1"/>
  <c r="U57" i="41" s="1"/>
  <c r="P50" i="41" a="1"/>
  <c r="P50" i="41" s="1"/>
  <c r="P57" i="41" a="1"/>
  <c r="P57" i="41" s="1"/>
  <c r="P56" i="41" a="1"/>
  <c r="P56" i="41" s="1"/>
  <c r="U54" i="41" a="1"/>
  <c r="U54" i="41" s="1"/>
  <c r="P55" i="41" a="1"/>
  <c r="P55" i="41" s="1"/>
  <c r="U53" i="41" a="1"/>
  <c r="U53" i="41" s="1"/>
  <c r="I31" i="41"/>
  <c r="G25" i="40"/>
  <c r="I25" i="40" s="1"/>
  <c r="J25" i="40" s="1"/>
  <c r="D26" i="40"/>
  <c r="G26" i="40" s="1"/>
  <c r="I26" i="40" s="1"/>
  <c r="J26" i="40" s="1"/>
  <c r="I7" i="40"/>
  <c r="J7" i="40" s="1"/>
  <c r="H11" i="40"/>
  <c r="I11" i="40" s="1"/>
  <c r="J11" i="40" s="1"/>
  <c r="H10" i="40"/>
  <c r="I10" i="40" s="1"/>
  <c r="J10" i="40" s="1"/>
  <c r="H9" i="40"/>
  <c r="I9" i="40" s="1"/>
  <c r="J9" i="40" s="1"/>
  <c r="H8" i="40"/>
  <c r="I8" i="40" s="1"/>
  <c r="J8" i="40" s="1"/>
  <c r="H17" i="40"/>
  <c r="I17" i="40" s="1"/>
  <c r="J17" i="40" s="1"/>
  <c r="H18" i="40"/>
  <c r="I18" i="40" s="1"/>
  <c r="J18" i="40" s="1"/>
  <c r="H16" i="40"/>
  <c r="I16" i="40" s="1"/>
  <c r="J16" i="40" s="1"/>
  <c r="H15" i="40"/>
  <c r="I15" i="40" s="1"/>
  <c r="J15" i="40" s="1"/>
  <c r="H14" i="40"/>
  <c r="I14" i="40" s="1"/>
  <c r="J14" i="40" s="1"/>
  <c r="H13" i="40"/>
  <c r="I13" i="40" s="1"/>
  <c r="J13" i="40" s="1"/>
  <c r="H12" i="40"/>
  <c r="I12" i="40" s="1"/>
  <c r="J12" i="40" s="1"/>
  <c r="I12" i="44" l="1"/>
  <c r="J12" i="44" s="1"/>
  <c r="H3" i="44"/>
  <c r="I6" i="44"/>
  <c r="J6" i="44" s="1"/>
  <c r="I20" i="44"/>
  <c r="J20" i="44" s="1"/>
  <c r="I10" i="44"/>
  <c r="J10" i="44" s="1"/>
  <c r="I18" i="44"/>
  <c r="J18" i="44" s="1"/>
  <c r="I8" i="44"/>
  <c r="J8" i="44" s="1"/>
  <c r="I16" i="44"/>
  <c r="J16" i="44" s="1"/>
  <c r="I14" i="44"/>
  <c r="J14" i="44" s="1"/>
  <c r="C76" i="41"/>
  <c r="C78" i="41" s="1"/>
  <c r="P90" i="41" s="1"/>
  <c r="Q108" i="41" s="1"/>
  <c r="P109" i="41" s="1"/>
  <c r="O109" i="41" s="1"/>
  <c r="F3" i="43" a="1"/>
  <c r="F3" i="43" s="1"/>
  <c r="H3" i="43" s="1" a="1"/>
  <c r="C19" i="43"/>
  <c r="C21" i="43" s="1"/>
  <c r="E21" i="43" s="1"/>
  <c r="C18" i="43"/>
  <c r="C20" i="43" s="1"/>
  <c r="J32" i="43" s="1"/>
  <c r="H77" i="41"/>
  <c r="E77" i="41"/>
  <c r="M60" i="41" a="1"/>
  <c r="M60" i="41" s="1"/>
  <c r="O60" i="41" s="1" a="1"/>
  <c r="O60" i="41" s="1"/>
  <c r="D27" i="40"/>
  <c r="G27" i="40" s="1"/>
  <c r="I27" i="40" s="1"/>
  <c r="J27" i="40" s="1"/>
  <c r="J34" i="43" l="1"/>
  <c r="J35" i="43"/>
  <c r="J27" i="43"/>
  <c r="J31" i="43"/>
  <c r="J30" i="43"/>
  <c r="J33" i="43"/>
  <c r="E20" i="43"/>
  <c r="J28" i="43"/>
  <c r="J29" i="43"/>
  <c r="E78" i="41"/>
  <c r="H78" i="41"/>
  <c r="R109" i="41"/>
  <c r="G3" i="44" a="1"/>
  <c r="G3" i="44" s="1"/>
  <c r="I4" i="44"/>
  <c r="J4" i="44" s="1"/>
  <c r="L4" i="44" s="1" a="1"/>
  <c r="L4" i="44" s="1"/>
  <c r="K4" i="44" s="1" a="1"/>
  <c r="K4" i="44" s="1"/>
  <c r="I10" i="43"/>
  <c r="J10" i="43" s="1"/>
  <c r="I20" i="43"/>
  <c r="J20" i="43" s="1"/>
  <c r="H3" i="43"/>
  <c r="I18" i="43"/>
  <c r="J18" i="43" s="1"/>
  <c r="I6" i="43"/>
  <c r="J6" i="43" s="1"/>
  <c r="I12" i="43"/>
  <c r="J12" i="43" s="1"/>
  <c r="I14" i="43"/>
  <c r="J14" i="43" s="1"/>
  <c r="I8" i="43"/>
  <c r="J8" i="43" s="1"/>
  <c r="I16" i="43"/>
  <c r="J16" i="43" s="1"/>
  <c r="P68" i="41"/>
  <c r="U73" i="41"/>
  <c r="P71" i="41"/>
  <c r="R69" i="41"/>
  <c r="T73" i="41"/>
  <c r="P69" i="41"/>
  <c r="R73" i="41"/>
  <c r="R75" i="41"/>
  <c r="U71" i="41"/>
  <c r="R61" i="41"/>
  <c r="T71" i="41"/>
  <c r="W71" i="41" s="1"/>
  <c r="P63" i="41"/>
  <c r="P73" i="41"/>
  <c r="T69" i="41"/>
  <c r="W69" i="41" s="1"/>
  <c r="R65" i="41"/>
  <c r="U75" i="41"/>
  <c r="P70" i="41"/>
  <c r="R71" i="41"/>
  <c r="P62" i="41"/>
  <c r="P72" i="41"/>
  <c r="R67" i="41"/>
  <c r="U69" i="41"/>
  <c r="P67" i="41"/>
  <c r="U65" i="41"/>
  <c r="P64" i="41"/>
  <c r="P74" i="41"/>
  <c r="T67" i="41"/>
  <c r="W67" i="41" s="1"/>
  <c r="R63" i="41"/>
  <c r="U63" i="41"/>
  <c r="U61" i="41"/>
  <c r="P65" i="41"/>
  <c r="P75" i="41"/>
  <c r="T65" i="41"/>
  <c r="W65" i="41" s="1"/>
  <c r="P66" i="41"/>
  <c r="T75" i="41"/>
  <c r="W75" i="41" s="1"/>
  <c r="T63" i="41"/>
  <c r="W63" i="41" s="1"/>
  <c r="P61" i="41"/>
  <c r="U67" i="41"/>
  <c r="L16" i="43" l="1" a="1"/>
  <c r="I4" i="43"/>
  <c r="J4" i="43" s="1"/>
  <c r="L4" i="43" s="1" a="1"/>
  <c r="G3" i="43" a="1"/>
  <c r="G3" i="43" s="1"/>
  <c r="W73" i="41"/>
  <c r="P89" i="41"/>
  <c r="Q97" i="41"/>
  <c r="P98" i="41" s="1"/>
  <c r="P86" i="41"/>
  <c r="P87" i="41"/>
  <c r="P85" i="41"/>
  <c r="S85" i="41" s="1"/>
  <c r="P88" i="41"/>
  <c r="N60" i="41" a="1"/>
  <c r="T61" i="41"/>
  <c r="W61" i="41" s="1"/>
  <c r="R23" i="43" l="1"/>
  <c r="R24" i="43"/>
  <c r="O23" i="43"/>
  <c r="N24" i="43"/>
  <c r="M24" i="43"/>
  <c r="N23" i="43"/>
  <c r="O24" i="43"/>
  <c r="P24" i="43" s="1"/>
  <c r="M23" i="43"/>
  <c r="R20" i="43"/>
  <c r="R21" i="43"/>
  <c r="R22" i="43"/>
  <c r="R17" i="43"/>
  <c r="R18" i="43"/>
  <c r="R19" i="43"/>
  <c r="M22" i="43"/>
  <c r="N21" i="43"/>
  <c r="N20" i="43"/>
  <c r="O19" i="43"/>
  <c r="M20" i="43"/>
  <c r="N19" i="43"/>
  <c r="O20" i="43"/>
  <c r="N22" i="43"/>
  <c r="M21" i="43"/>
  <c r="O22" i="43"/>
  <c r="P22" i="43" s="1"/>
  <c r="M19" i="43"/>
  <c r="O21" i="43"/>
  <c r="L16" i="43"/>
  <c r="N18" i="43"/>
  <c r="N17" i="43"/>
  <c r="O18" i="43"/>
  <c r="M17" i="43"/>
  <c r="O17" i="43"/>
  <c r="M18" i="43"/>
  <c r="L4" i="43"/>
  <c r="L32" i="43" s="1" a="1"/>
  <c r="L32" i="43" s="1"/>
  <c r="O5" i="43"/>
  <c r="M5" i="43"/>
  <c r="N8" i="43"/>
  <c r="M10" i="43"/>
  <c r="M11" i="43"/>
  <c r="O6" i="43"/>
  <c r="N5" i="43"/>
  <c r="M6" i="43"/>
  <c r="M9" i="43"/>
  <c r="N9" i="43"/>
  <c r="N10" i="43"/>
  <c r="N11" i="43"/>
  <c r="N12" i="43"/>
  <c r="O7" i="43"/>
  <c r="P7" i="43" s="1"/>
  <c r="N6" i="43"/>
  <c r="M7" i="43"/>
  <c r="O9" i="43"/>
  <c r="O11" i="43"/>
  <c r="M12" i="43"/>
  <c r="O8" i="43"/>
  <c r="N7" i="43"/>
  <c r="M8" i="43"/>
  <c r="O10" i="43"/>
  <c r="O12" i="43"/>
  <c r="P12" i="43" s="1"/>
  <c r="R97" i="41"/>
  <c r="O97" i="41"/>
  <c r="Q87" i="41"/>
  <c r="R87" i="41" s="1"/>
  <c r="S87" i="41" s="1"/>
  <c r="U87" i="41" s="1"/>
  <c r="Q86" i="41"/>
  <c r="S86" i="41" s="1"/>
  <c r="U86" i="41" s="1"/>
  <c r="Q88" i="41"/>
  <c r="R88" i="41" s="1"/>
  <c r="S88" i="41" s="1"/>
  <c r="U88" i="41" s="1"/>
  <c r="Q89" i="41"/>
  <c r="R89" i="41" s="1"/>
  <c r="S89" i="41" s="1"/>
  <c r="U89" i="41" s="1"/>
  <c r="T85" i="41"/>
  <c r="U85" i="41"/>
  <c r="P100" i="41" s="1"/>
  <c r="N60" i="41"/>
  <c r="Q61" i="41" s="1"/>
  <c r="S67" i="41"/>
  <c r="S65" i="41"/>
  <c r="S63" i="41"/>
  <c r="Q72" i="41"/>
  <c r="S73" i="41"/>
  <c r="Q67" i="41"/>
  <c r="Q74" i="41"/>
  <c r="Q63" i="41"/>
  <c r="Q69" i="41"/>
  <c r="Q68" i="41"/>
  <c r="Q62" i="41"/>
  <c r="Q70" i="41"/>
  <c r="Q73" i="41"/>
  <c r="Q66" i="41"/>
  <c r="Q64" i="41"/>
  <c r="S75" i="41"/>
  <c r="Q65" i="41"/>
  <c r="Q75" i="41"/>
  <c r="S71" i="41"/>
  <c r="Q71" i="41"/>
  <c r="S69" i="41"/>
  <c r="P21" i="43" l="1"/>
  <c r="P23" i="43"/>
  <c r="P11" i="43"/>
  <c r="P17" i="43"/>
  <c r="P19" i="43"/>
  <c r="P20" i="43"/>
  <c r="R16" i="43"/>
  <c r="M32" i="43" a="1"/>
  <c r="P18" i="43"/>
  <c r="P9" i="43"/>
  <c r="K16" i="43" a="1"/>
  <c r="K16" i="43" s="1"/>
  <c r="O16" i="43"/>
  <c r="N16" i="43"/>
  <c r="M16" i="43"/>
  <c r="Q17" i="43"/>
  <c r="Q18" i="43"/>
  <c r="Q23" i="43"/>
  <c r="Q24" i="43"/>
  <c r="Q19" i="43"/>
  <c r="Q22" i="43"/>
  <c r="Q20" i="43"/>
  <c r="Q21" i="43"/>
  <c r="P10" i="43"/>
  <c r="P6" i="43"/>
  <c r="P5" i="43"/>
  <c r="P8" i="43"/>
  <c r="K4" i="43" a="1"/>
  <c r="K4" i="43" s="1"/>
  <c r="O4" i="43"/>
  <c r="N4" i="43"/>
  <c r="M4" i="43"/>
  <c r="T89" i="41"/>
  <c r="T88" i="41"/>
  <c r="T86" i="41"/>
  <c r="Q100" i="41" s="1"/>
  <c r="R100" i="41" s="1"/>
  <c r="T87" i="41"/>
  <c r="P103" i="41" s="1" a="1"/>
  <c r="P105" i="41" a="1"/>
  <c r="Q104" i="41"/>
  <c r="P101" i="41" a="1"/>
  <c r="Q106" i="41"/>
  <c r="P107" i="41" a="1"/>
  <c r="Q98" i="41"/>
  <c r="P99" i="41" a="1"/>
  <c r="P99" i="41" s="1"/>
  <c r="O99" i="41" s="1"/>
  <c r="S61" i="41"/>
  <c r="N38" i="43" l="1" a="1"/>
  <c r="N38" i="43" s="1"/>
  <c r="N39" i="43" a="1"/>
  <c r="N39" i="43" s="1"/>
  <c r="N40" i="43" a="1"/>
  <c r="N40" i="43" s="1"/>
  <c r="N33" i="43" a="1"/>
  <c r="N33" i="43" s="1"/>
  <c r="N34" i="43" a="1"/>
  <c r="N34" i="43" s="1"/>
  <c r="N35" i="43" a="1"/>
  <c r="N35" i="43" s="1"/>
  <c r="N36" i="43" a="1"/>
  <c r="N36" i="43" s="1"/>
  <c r="N37" i="43" a="1"/>
  <c r="N37" i="43" s="1"/>
  <c r="M32" i="43"/>
  <c r="P16" i="43"/>
  <c r="Q16" i="43"/>
  <c r="P4" i="43"/>
  <c r="Q102" i="41"/>
  <c r="P103" i="41"/>
  <c r="O103" i="41" s="1"/>
  <c r="R103" i="41"/>
  <c r="P104" i="41"/>
  <c r="O104" i="41" s="1"/>
  <c r="P101" i="41"/>
  <c r="O101" i="41" s="1"/>
  <c r="P102" i="41"/>
  <c r="O102" i="41" s="1"/>
  <c r="R101" i="41"/>
  <c r="R99" i="41"/>
  <c r="R98" i="41"/>
  <c r="P107" i="41"/>
  <c r="O107" i="41" s="1"/>
  <c r="P108" i="41"/>
  <c r="O98" i="41"/>
  <c r="O100" i="41"/>
  <c r="P105" i="41"/>
  <c r="O105" i="41" s="1"/>
  <c r="R105" i="41"/>
  <c r="P106" i="41"/>
  <c r="O106" i="41" s="1"/>
  <c r="N32" i="43" l="1" a="1"/>
  <c r="N32" i="43" s="1"/>
  <c r="K32" i="43" a="1"/>
  <c r="K32" i="43" s="1"/>
  <c r="R104" i="41"/>
  <c r="R107" i="41"/>
  <c r="O108" i="41"/>
  <c r="R108" i="41"/>
  <c r="R102" i="41"/>
  <c r="R106" i="4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<sst xmlns="http://schemas.openxmlformats.org/spreadsheetml/2006/main" count="436" uniqueCount="198">
  <si>
    <t>Mass</t>
  </si>
  <si>
    <t>Radius</t>
  </si>
  <si>
    <t>Gravity</t>
  </si>
  <si>
    <t>Density</t>
  </si>
  <si>
    <t>Planet</t>
  </si>
  <si>
    <t>F7.97V</t>
  </si>
  <si>
    <t>Temperature/K</t>
  </si>
  <si>
    <t>Luminosity</t>
  </si>
  <si>
    <t>Lifetime/v</t>
  </si>
  <si>
    <t>Spectral Type</t>
  </si>
  <si>
    <t>Nucleal Orbit</t>
  </si>
  <si>
    <t>H₀</t>
  </si>
  <si>
    <t>H₁</t>
  </si>
  <si>
    <t>H₂</t>
  </si>
  <si>
    <t>H₃</t>
  </si>
  <si>
    <t>H₄</t>
  </si>
  <si>
    <t>H₅</t>
  </si>
  <si>
    <t>Perannual Orbit</t>
  </si>
  <si>
    <t>6.623 Ga</t>
  </si>
  <si>
    <t>Star</t>
  </si>
  <si>
    <t>Stele</t>
  </si>
  <si>
    <t>1.618Ⓟ</t>
  </si>
  <si>
    <t>Rosetta</t>
  </si>
  <si>
    <t>Escape vel.</t>
  </si>
  <si>
    <t>Diurn (sid)</t>
  </si>
  <si>
    <t>28.8h</t>
  </si>
  <si>
    <t>1.20d</t>
  </si>
  <si>
    <t>Diurn (zen)</t>
  </si>
  <si>
    <t>28.86h</t>
  </si>
  <si>
    <t>1.2025d</t>
  </si>
  <si>
    <t>Chronum (sid)</t>
  </si>
  <si>
    <t>591d</t>
  </si>
  <si>
    <t>Chronum (trp)</t>
  </si>
  <si>
    <t>590.97d</t>
  </si>
  <si>
    <t>1.617958Ⓟ</t>
  </si>
  <si>
    <t>Cyclum (sid)</t>
  </si>
  <si>
    <t>492D</t>
  </si>
  <si>
    <t>Cyclum (trp)</t>
  </si>
  <si>
    <t>491.99D</t>
  </si>
  <si>
    <t>Obliquity</t>
  </si>
  <si>
    <t>24°</t>
  </si>
  <si>
    <t>Phase Orient.</t>
  </si>
  <si>
    <t>180°φ</t>
  </si>
  <si>
    <t>Precsssion Per.</t>
  </si>
  <si>
    <t>31415y</t>
  </si>
  <si>
    <t>19416C</t>
  </si>
  <si>
    <t>Apical Diurn</t>
  </si>
  <si>
    <t>28.86 h</t>
  </si>
  <si>
    <t>Tropical Chronum</t>
  </si>
  <si>
    <t>590.97 d</t>
  </si>
  <si>
    <t>factor</t>
  </si>
  <si>
    <t>492/factor</t>
  </si>
  <si>
    <t>floor(492/factor,10)</t>
  </si>
  <si>
    <t xml:space="preserve">492 mod floor(492/factor,10) </t>
  </si>
  <si>
    <t>Spring</t>
  </si>
  <si>
    <t>Summer</t>
  </si>
  <si>
    <t>Autumn</t>
  </si>
  <si>
    <t>Winter</t>
  </si>
  <si>
    <t>Kepler</t>
  </si>
  <si>
    <t>Sinus</t>
  </si>
  <si>
    <t>Season</t>
  </si>
  <si>
    <t>Mund</t>
  </si>
  <si>
    <t>last diurn of season</t>
  </si>
  <si>
    <t>offset from 120 * number of mund</t>
  </si>
  <si>
    <t>Season Ends</t>
  </si>
  <si>
    <t>M1:107</t>
  </si>
  <si>
    <t>M2:112</t>
  </si>
  <si>
    <t>M3:119</t>
  </si>
  <si>
    <t>M4:120</t>
  </si>
  <si>
    <t>Rashid</t>
  </si>
  <si>
    <t>Hierax</t>
  </si>
  <si>
    <t>Synodian</t>
  </si>
  <si>
    <t>diurns</t>
  </si>
  <si>
    <t>Epoch</t>
  </si>
  <si>
    <t>chrona</t>
  </si>
  <si>
    <t>Moon/cycle</t>
  </si>
  <si>
    <t>Optimistic</t>
  </si>
  <si>
    <t>Conservative</t>
  </si>
  <si>
    <t>Medial</t>
  </si>
  <si>
    <t>Orbit</t>
  </si>
  <si>
    <t>Distance (AU)</t>
  </si>
  <si>
    <t>Interval</t>
  </si>
  <si>
    <t>Gap</t>
  </si>
  <si>
    <t>P</t>
  </si>
  <si>
    <t>AU</t>
  </si>
  <si>
    <t>Orbit/Limital</t>
  </si>
  <si>
    <t>Period</t>
  </si>
  <si>
    <t>ISL</t>
  </si>
  <si>
    <t>CVL-n</t>
  </si>
  <si>
    <t>CVL-x</t>
  </si>
  <si>
    <t>CVL-e</t>
  </si>
  <si>
    <t>OHI</t>
  </si>
  <si>
    <t>3:1</t>
  </si>
  <si>
    <t>2:1</t>
  </si>
  <si>
    <t>4:1</t>
  </si>
  <si>
    <t>5:1</t>
  </si>
  <si>
    <t>3:2</t>
  </si>
  <si>
    <t>4:3</t>
  </si>
  <si>
    <t>5:2</t>
  </si>
  <si>
    <t>multiplier</t>
  </si>
  <si>
    <t>ratio</t>
  </si>
  <si>
    <t>Ppert ×</t>
  </si>
  <si>
    <t>= Presonant</t>
  </si>
  <si>
    <t>5:3</t>
  </si>
  <si>
    <t>inner</t>
  </si>
  <si>
    <t>outer</t>
  </si>
  <si>
    <t>orbit</t>
  </si>
  <si>
    <t>period</t>
  </si>
  <si>
    <t>Resonance 1</t>
  </si>
  <si>
    <t>Resonance 2</t>
  </si>
  <si>
    <t>Resonance 3</t>
  </si>
  <si>
    <t>Resonance 4</t>
  </si>
  <si>
    <t>Resonance 5</t>
  </si>
  <si>
    <t>inner orbit</t>
  </si>
  <si>
    <t>scaler</t>
  </si>
  <si>
    <t>inner period</t>
  </si>
  <si>
    <t>Resonance 6</t>
  </si>
  <si>
    <t>Resonance 7</t>
  </si>
  <si>
    <t>Resonance 8</t>
  </si>
  <si>
    <t>outer orbit</t>
  </si>
  <si>
    <t>outer period</t>
  </si>
  <si>
    <t>inner resonance</t>
  </si>
  <si>
    <t>orbits</t>
  </si>
  <si>
    <t>outer resonance</t>
  </si>
  <si>
    <t>5⨁</t>
  </si>
  <si>
    <t>20⨁</t>
  </si>
  <si>
    <t>average</t>
  </si>
  <si>
    <t>first gap orbit</t>
  </si>
  <si>
    <t>second gap orbit</t>
  </si>
  <si>
    <t>third gap orbit</t>
  </si>
  <si>
    <t>outer edge of belt</t>
  </si>
  <si>
    <t>outer bracketer orbit</t>
  </si>
  <si>
    <t>inner bracketer orbit</t>
  </si>
  <si>
    <t>inner edge of belt</t>
  </si>
  <si>
    <t>inner mass</t>
  </si>
  <si>
    <t>outer mass</t>
  </si>
  <si>
    <t>width by</t>
  </si>
  <si>
    <t xml:space="preserve">width by </t>
  </si>
  <si>
    <t>inner/outer average</t>
  </si>
  <si>
    <t>inner edge</t>
  </si>
  <si>
    <t>of gap</t>
  </si>
  <si>
    <t>outer edge</t>
  </si>
  <si>
    <t>planet</t>
  </si>
  <si>
    <t>belt 1</t>
  </si>
  <si>
    <t>central orbit</t>
  </si>
  <si>
    <t>gap 1</t>
  </si>
  <si>
    <t>belt 2</t>
  </si>
  <si>
    <t>gap 2</t>
  </si>
  <si>
    <t>belt 3</t>
  </si>
  <si>
    <t>gap 3</t>
  </si>
  <si>
    <t>belt 4</t>
  </si>
  <si>
    <t>inner margi</t>
  </si>
  <si>
    <t>outer margin</t>
  </si>
  <si>
    <t>End AU</t>
  </si>
  <si>
    <t>Width AU</t>
  </si>
  <si>
    <t>Start AU</t>
  </si>
  <si>
    <t>fourth gap orbit</t>
  </si>
  <si>
    <t>fifth gap orbit</t>
  </si>
  <si>
    <t>midrange</t>
  </si>
  <si>
    <t>m_i</t>
  </si>
  <si>
    <t>m_o</t>
  </si>
  <si>
    <t>a'_c</t>
  </si>
  <si>
    <t>m_μ</t>
  </si>
  <si>
    <t>M_*</t>
  </si>
  <si>
    <t>a_Δ</t>
  </si>
  <si>
    <t>W_belt</t>
  </si>
  <si>
    <t>C</t>
  </si>
  <si>
    <t>β</t>
  </si>
  <si>
    <t>B_i</t>
  </si>
  <si>
    <t>B_o</t>
  </si>
  <si>
    <t>w_i</t>
  </si>
  <si>
    <t>w_o</t>
  </si>
  <si>
    <t>W_i</t>
  </si>
  <si>
    <t>W_o</t>
  </si>
  <si>
    <t>inner buffer</t>
  </si>
  <si>
    <t>outer buffer</t>
  </si>
  <si>
    <t>gap 4</t>
  </si>
  <si>
    <t>belt 5</t>
  </si>
  <si>
    <t>gap 5</t>
  </si>
  <si>
    <t>Star Mass⊙</t>
  </si>
  <si>
    <t>M⊙</t>
  </si>
  <si>
    <t>Vstack</t>
  </si>
  <si>
    <t>Resonance</t>
  </si>
  <si>
    <t>Pairwise Averages</t>
  </si>
  <si>
    <t>Withn Belt Boundaries?</t>
  </si>
  <si>
    <t>Sorted</t>
  </si>
  <si>
    <t>Resonance 9</t>
  </si>
  <si>
    <t>7:3</t>
  </si>
  <si>
    <t>g_i</t>
  </si>
  <si>
    <t>g_o</t>
  </si>
  <si>
    <t>%</t>
  </si>
  <si>
    <t>g_net</t>
  </si>
  <si>
    <t>Combined</t>
  </si>
  <si>
    <t>Outer only</t>
  </si>
  <si>
    <t>% Diff</t>
  </si>
  <si>
    <t>in orbit</t>
  </si>
  <si>
    <t>out orbit</t>
  </si>
  <si>
    <t>Obsvd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</si>
</sst>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0"/>
    <numFmt numFmtId="166" formatCode="0.000"/>
    <numFmt numFmtId="167" formatCode="0.0000000"/>
  </numFmts>
  <fonts count="7">
    <font>
      <sz val="12"/>
      <color theme="1"/>
      <name val="Calibri"/>
      <family val="2"/>
      <scheme val="minor"/>
    </font>
    <font>
      <sz val="12"/>
      <color theme="1"/>
      <name val="IBMPlexMono"/>
      <family val="2"/>
    </font>
    <font>
      <sz val="8"/>
      <name val="Calibri"/>
      <family val="2"/>
      <scheme val="minor"/>
    </font>
    <font>
      <sz val="12"/>
      <color theme="1"/>
      <name val="IBM Plex Mono"/>
    </font>
    <font>
      <sz val="12"/>
      <name val="IBM Plex Mono"/>
    </font>
    <font>
      <sz val="12"/>
      <color rgb="FF000000"/>
      <name val="IBM Plex Mono"/>
    </font>
    <font>
      <b/>
      <sz val="12"/>
      <color theme="1"/>
      <name val="IBM Plex Mono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1" fillId="0" borderId="0" xfId="1"/>
    <xf numFmtId="2" fontId="1" fillId="0" borderId="0" xfId="1" applyNumberFormat="1"/>
    <xf numFmtId="2" fontId="1" fillId="0" borderId="0" xfId="1" applyNumberFormat="1" applyAlignment="1">
      <alignment horizontal="right"/>
    </xf>
    <xf numFmtId="164" fontId="1" fillId="0" borderId="0" xfId="1" applyNumberFormat="1"/>
    <xf numFmtId="164" fontId="1" fillId="0" borderId="0" xfId="1" applyNumberFormat="1" applyAlignment="1">
      <alignment horizontal="right"/>
    </xf>
    <xf numFmtId="0" fontId="3" fillId="2" borderId="1" xfId="1" applyFont="1" applyFill="1" applyBorder="1"/>
    <xf numFmtId="164" fontId="3" fillId="2" borderId="1" xfId="1" applyNumberFormat="1" applyFont="1" applyFill="1" applyBorder="1"/>
    <xf numFmtId="0" fontId="3" fillId="2" borderId="1" xfId="0" applyFont="1" applyFill="1" applyBorder="1"/>
    <xf numFmtId="2" fontId="3" fillId="2" borderId="1" xfId="1" applyNumberFormat="1" applyFont="1" applyFill="1" applyBorder="1"/>
    <xf numFmtId="2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/>
    </xf>
    <xf numFmtId="164" fontId="3" fillId="2" borderId="1" xfId="0" applyNumberFormat="1" applyFont="1" applyFill="1" applyBorder="1"/>
    <xf numFmtId="165" fontId="3" fillId="2" borderId="1" xfId="0" applyNumberFormat="1" applyFont="1" applyFill="1" applyBorder="1" applyAlignment="1">
      <alignment horizontal="right"/>
    </xf>
    <xf numFmtId="166" fontId="3" fillId="2" borderId="1" xfId="0" applyNumberFormat="1" applyFont="1" applyFill="1" applyBorder="1"/>
    <xf numFmtId="0" fontId="3" fillId="2" borderId="1" xfId="0" quotePrefix="1" applyFont="1" applyFill="1" applyBorder="1"/>
    <xf numFmtId="0" fontId="3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7" fontId="3" fillId="2" borderId="1" xfId="0" applyNumberFormat="1" applyFont="1" applyFill="1" applyBorder="1"/>
    <xf numFmtId="164" fontId="4" fillId="2" borderId="1" xfId="0" applyNumberFormat="1" applyFont="1" applyFill="1" applyBorder="1"/>
    <xf numFmtId="165" fontId="3" fillId="2" borderId="1" xfId="0" applyNumberFormat="1" applyFont="1" applyFill="1" applyBorder="1"/>
    <xf numFmtId="164" fontId="5" fillId="3" borderId="1" xfId="0" applyNumberFormat="1" applyFont="1" applyFill="1" applyBorder="1"/>
    <xf numFmtId="0" fontId="6" fillId="2" borderId="1" xfId="0" applyFont="1" applyFill="1" applyBorder="1"/>
    <xf numFmtId="166" fontId="6" fillId="2" borderId="1" xfId="0" applyNumberFormat="1" applyFont="1" applyFill="1" applyBorder="1"/>
  </cellXfs>
  <cellStyles count="2">
    <cellStyle name="Normal" xfId="0" builtinId="0"/>
    <cellStyle name="Normal 2" xfId="1" xr:uid="{02AC8E82-F080-2843-9420-50E3B01A351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70C615C-0FA5-D047-954A-872AC07666A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2A397F16-40FB-EC46-9309-AA3EFEC8ACA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9FF0-DE90-B544-A196-ECF1BE3BA208}">
  <sheetPr codeName="Sheet1"/>
  <dimension ref="A1:K34"/>
  <sheetViews>
    <sheetView zoomScale="140" zoomScaleNormal="140" workbookViewId="0">
      <selection activeCell="B3" sqref="B3:D16"/>
    </sheetView>
  </sheetViews>
  <sheetFormatPr baseColWidth="10" defaultColWidth="10.83203125" defaultRowHeight="16"/>
  <cols>
    <col min="1" max="1" width="19.1640625" style="1" bestFit="1" customWidth="1"/>
    <col min="2" max="2" width="19.83203125" style="1" customWidth="1"/>
    <col min="3" max="3" width="10.83203125" style="1"/>
    <col min="4" max="4" width="12.83203125" style="1" bestFit="1" customWidth="1"/>
    <col min="5" max="16384" width="10.83203125" style="1"/>
  </cols>
  <sheetData>
    <row r="1" spans="1:11">
      <c r="A1" s="1" t="s">
        <v>19</v>
      </c>
      <c r="B1" s="1" t="s">
        <v>20</v>
      </c>
    </row>
    <row r="3" spans="1:11">
      <c r="B3" s="1" t="s">
        <v>0</v>
      </c>
      <c r="C3" s="4">
        <v>1.181</v>
      </c>
      <c r="H3" s="1" cm="1">
        <f t="array" ref="H3:H12">METALS(10)</f>
        <v>1.6180300000000001</v>
      </c>
      <c r="I3" s="1">
        <f>H3*10^4</f>
        <v>16180.300000000001</v>
      </c>
      <c r="J3" s="1">
        <f>ROUND(I3,0)</f>
        <v>16180</v>
      </c>
      <c r="K3" s="1">
        <f>J3/1.618</f>
        <v>10000</v>
      </c>
    </row>
    <row r="4" spans="1:11">
      <c r="B4" s="1" t="s">
        <v>1</v>
      </c>
      <c r="C4" s="4">
        <v>1.1617999999999999</v>
      </c>
      <c r="H4" s="1">
        <v>2.4142100000000002</v>
      </c>
      <c r="I4" s="1">
        <f t="shared" ref="I4:I12" si="0">H4*10^4</f>
        <v>24142.100000000002</v>
      </c>
      <c r="J4" s="1">
        <f t="shared" ref="J4:J12" si="1">ROUND(I4,0)</f>
        <v>24142</v>
      </c>
      <c r="K4" s="1">
        <f t="shared" ref="K4:K12" si="2">J4/1.618</f>
        <v>14920.889987639059</v>
      </c>
    </row>
    <row r="5" spans="1:11">
      <c r="B5" s="1" t="s">
        <v>6</v>
      </c>
      <c r="C5" s="4">
        <v>1.0869</v>
      </c>
      <c r="D5" s="2">
        <v>6304</v>
      </c>
      <c r="H5" s="1">
        <v>3.3027799999999998</v>
      </c>
      <c r="I5" s="1">
        <f t="shared" si="0"/>
        <v>33027.799999999996</v>
      </c>
      <c r="J5" s="1">
        <f t="shared" si="1"/>
        <v>33028</v>
      </c>
      <c r="K5" s="1">
        <f t="shared" si="2"/>
        <v>20412.855377008651</v>
      </c>
    </row>
    <row r="6" spans="1:11">
      <c r="B6" s="1" t="s">
        <v>7</v>
      </c>
      <c r="C6" s="4">
        <v>1.8839999999999999</v>
      </c>
      <c r="D6" s="2"/>
      <c r="H6" s="1">
        <v>4.2360699999999998</v>
      </c>
      <c r="I6" s="1">
        <f t="shared" si="0"/>
        <v>42360.7</v>
      </c>
      <c r="J6" s="1">
        <f t="shared" si="1"/>
        <v>42361</v>
      </c>
      <c r="K6" s="1">
        <f t="shared" si="2"/>
        <v>26181.087762669962</v>
      </c>
    </row>
    <row r="7" spans="1:11">
      <c r="B7" s="1" t="s">
        <v>8</v>
      </c>
      <c r="C7" s="4">
        <v>0.6623</v>
      </c>
      <c r="D7" s="3" t="s">
        <v>18</v>
      </c>
      <c r="H7" s="1">
        <v>5.1925800000000004</v>
      </c>
      <c r="I7" s="1">
        <f t="shared" si="0"/>
        <v>51925.8</v>
      </c>
      <c r="J7" s="1">
        <f t="shared" si="1"/>
        <v>51926</v>
      </c>
      <c r="K7" s="1">
        <f t="shared" si="2"/>
        <v>32092.707045735475</v>
      </c>
    </row>
    <row r="8" spans="1:11">
      <c r="B8" s="1" t="s">
        <v>9</v>
      </c>
      <c r="C8" s="5" t="s">
        <v>5</v>
      </c>
      <c r="D8" s="2"/>
      <c r="H8" s="1">
        <v>6.16228</v>
      </c>
      <c r="I8" s="1">
        <f t="shared" si="0"/>
        <v>61622.8</v>
      </c>
      <c r="J8" s="1">
        <f t="shared" si="1"/>
        <v>61623</v>
      </c>
      <c r="K8" s="1">
        <f t="shared" si="2"/>
        <v>38085.908529048203</v>
      </c>
    </row>
    <row r="9" spans="1:11">
      <c r="B9" s="1" t="s">
        <v>10</v>
      </c>
      <c r="C9" s="4">
        <v>1.3725000000000001</v>
      </c>
      <c r="D9" s="3" t="s">
        <v>21</v>
      </c>
      <c r="H9" s="1">
        <v>7.1400499999999996</v>
      </c>
      <c r="I9" s="1">
        <f t="shared" si="0"/>
        <v>71400.5</v>
      </c>
      <c r="J9" s="1">
        <f t="shared" si="1"/>
        <v>71401</v>
      </c>
      <c r="K9" s="1">
        <f t="shared" si="2"/>
        <v>44129.171817058093</v>
      </c>
    </row>
    <row r="10" spans="1:11">
      <c r="B10" s="1" t="s">
        <v>11</v>
      </c>
      <c r="C10" s="4">
        <v>0.68600000000000005</v>
      </c>
      <c r="D10" s="2"/>
      <c r="H10" s="1">
        <v>8.1231100000000005</v>
      </c>
      <c r="I10" s="1">
        <f t="shared" si="0"/>
        <v>81231.100000000006</v>
      </c>
      <c r="J10" s="1">
        <f t="shared" si="1"/>
        <v>81231</v>
      </c>
      <c r="K10" s="1">
        <f t="shared" si="2"/>
        <v>50204.573547589614</v>
      </c>
    </row>
    <row r="11" spans="1:11">
      <c r="B11" s="1" t="s">
        <v>12</v>
      </c>
      <c r="C11" s="4">
        <v>1.0289999999999999</v>
      </c>
      <c r="H11" s="1">
        <v>9.1097699999999993</v>
      </c>
      <c r="I11" s="1">
        <f t="shared" si="0"/>
        <v>91097.7</v>
      </c>
      <c r="J11" s="1">
        <f t="shared" si="1"/>
        <v>91098</v>
      </c>
      <c r="K11" s="1">
        <f t="shared" si="2"/>
        <v>56302.843016069215</v>
      </c>
    </row>
    <row r="12" spans="1:11">
      <c r="B12" s="1" t="s">
        <v>13</v>
      </c>
      <c r="C12" s="4">
        <v>1.304</v>
      </c>
      <c r="H12" s="1">
        <v>10.099019999999999</v>
      </c>
      <c r="I12" s="1">
        <f t="shared" si="0"/>
        <v>100990.2</v>
      </c>
      <c r="J12" s="1">
        <f t="shared" si="1"/>
        <v>100990</v>
      </c>
      <c r="K12" s="1">
        <f t="shared" si="2"/>
        <v>62416.563658838066</v>
      </c>
    </row>
    <row r="13" spans="1:11">
      <c r="B13" s="1" t="s">
        <v>14</v>
      </c>
      <c r="C13" s="4">
        <v>1.901</v>
      </c>
    </row>
    <row r="14" spans="1:11">
      <c r="B14" s="1" t="s">
        <v>15</v>
      </c>
      <c r="C14" s="4">
        <v>2.4289999999999998</v>
      </c>
    </row>
    <row r="15" spans="1:11">
      <c r="B15" s="1" t="s">
        <v>16</v>
      </c>
      <c r="C15" s="4">
        <v>6.657</v>
      </c>
    </row>
    <row r="16" spans="1:11">
      <c r="B16" s="1" t="s">
        <v>17</v>
      </c>
      <c r="C16" s="4">
        <v>1.0570999999999999</v>
      </c>
    </row>
    <row r="19" spans="1:4">
      <c r="A19" s="1" t="s">
        <v>4</v>
      </c>
      <c r="B19" s="1" t="s">
        <v>22</v>
      </c>
    </row>
    <row r="21" spans="1:4">
      <c r="B21" s="1" t="s">
        <v>0</v>
      </c>
      <c r="C21" s="1">
        <v>2.2000000000000002</v>
      </c>
    </row>
    <row r="22" spans="1:4">
      <c r="B22" s="1" t="s">
        <v>3</v>
      </c>
      <c r="C22" s="1">
        <v>1.1000000000000001</v>
      </c>
    </row>
    <row r="23" spans="1:4">
      <c r="B23" s="1" t="s">
        <v>1</v>
      </c>
      <c r="C23" s="1">
        <v>1.26</v>
      </c>
    </row>
    <row r="24" spans="1:4">
      <c r="B24" s="1" t="s">
        <v>2</v>
      </c>
      <c r="C24" s="1">
        <v>1.39</v>
      </c>
    </row>
    <row r="25" spans="1:4">
      <c r="B25" s="1" t="s">
        <v>23</v>
      </c>
      <c r="C25" s="1">
        <v>1.32</v>
      </c>
    </row>
    <row r="26" spans="1:4">
      <c r="B26" s="1" t="s">
        <v>24</v>
      </c>
      <c r="C26" s="1" t="s">
        <v>25</v>
      </c>
      <c r="D26" s="1" t="s">
        <v>26</v>
      </c>
    </row>
    <row r="27" spans="1:4">
      <c r="B27" s="1" t="s">
        <v>27</v>
      </c>
      <c r="C27" s="1" t="s">
        <v>28</v>
      </c>
      <c r="D27" s="1" t="s">
        <v>29</v>
      </c>
    </row>
    <row r="28" spans="1:4">
      <c r="B28" s="1" t="s">
        <v>30</v>
      </c>
      <c r="C28" s="1" t="s">
        <v>31</v>
      </c>
      <c r="D28" s="1" t="s">
        <v>21</v>
      </c>
    </row>
    <row r="29" spans="1:4">
      <c r="B29" s="1" t="s">
        <v>32</v>
      </c>
      <c r="C29" s="1" t="s">
        <v>33</v>
      </c>
      <c r="D29" s="1" t="s">
        <v>34</v>
      </c>
    </row>
    <row r="30" spans="1:4">
      <c r="B30" s="1" t="s">
        <v>35</v>
      </c>
      <c r="C30" s="1" t="s">
        <v>36</v>
      </c>
    </row>
    <row r="31" spans="1:4">
      <c r="B31" s="1" t="s">
        <v>37</v>
      </c>
      <c r="C31" s="1" t="s">
        <v>38</v>
      </c>
    </row>
    <row r="32" spans="1:4">
      <c r="B32" s="1" t="s">
        <v>39</v>
      </c>
      <c r="C32" s="1" t="s">
        <v>40</v>
      </c>
    </row>
    <row r="33" spans="2:4">
      <c r="B33" s="1" t="s">
        <v>41</v>
      </c>
      <c r="C33" s="1" t="s">
        <v>42</v>
      </c>
    </row>
    <row r="34" spans="2:4">
      <c r="B34" s="1" t="s">
        <v>43</v>
      </c>
      <c r="C34" s="1" t="s">
        <v>44</v>
      </c>
      <c r="D34" s="1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1757B-8570-4655-8B77-F5F3EF33272C}">
  <dimension ref="B2:AE110"/>
  <sheetViews>
    <sheetView topLeftCell="A10" zoomScale="120" zoomScaleNormal="120" workbookViewId="0">
      <selection activeCell="V85" sqref="V85"/>
    </sheetView>
  </sheetViews>
  <sheetFormatPr baseColWidth="10" defaultColWidth="8.83203125" defaultRowHeight="16"/>
  <cols>
    <col min="1" max="1" width="8.83203125" style="8"/>
    <col min="2" max="2" width="19.33203125" style="8" bestFit="1" customWidth="1"/>
    <col min="3" max="3" width="16.83203125" style="8" bestFit="1" customWidth="1"/>
    <col min="4" max="4" width="15.33203125" style="8" bestFit="1" customWidth="1"/>
    <col min="5" max="5" width="9.5" style="8" bestFit="1" customWidth="1"/>
    <col min="6" max="6" width="11.5" style="8" bestFit="1" customWidth="1"/>
    <col min="7" max="7" width="8.33203125" style="8" bestFit="1" customWidth="1"/>
    <col min="8" max="8" width="15.6640625" style="8" bestFit="1" customWidth="1"/>
    <col min="9" max="9" width="14.33203125" style="8" bestFit="1" customWidth="1"/>
    <col min="10" max="11" width="15.6640625" style="8" bestFit="1" customWidth="1"/>
    <col min="12" max="12" width="7.1640625" style="8" bestFit="1" customWidth="1"/>
    <col min="13" max="14" width="15.6640625" style="8" bestFit="1" customWidth="1"/>
    <col min="15" max="15" width="26.83203125" style="8" customWidth="1"/>
    <col min="16" max="16" width="19.33203125" style="8" bestFit="1" customWidth="1"/>
    <col min="17" max="18" width="15.6640625" style="8" bestFit="1" customWidth="1"/>
    <col min="19" max="19" width="24.33203125" style="8" bestFit="1" customWidth="1"/>
    <col min="20" max="20" width="13.1640625" style="8" bestFit="1" customWidth="1"/>
    <col min="21" max="21" width="29.33203125" style="8" bestFit="1" customWidth="1"/>
    <col min="22" max="24" width="14.33203125" style="8" bestFit="1" customWidth="1"/>
    <col min="25" max="25" width="9.5" style="8" bestFit="1" customWidth="1"/>
    <col min="26" max="16384" width="8.83203125" style="8"/>
  </cols>
  <sheetData>
    <row r="2" spans="2:11">
      <c r="B2" s="6" t="s">
        <v>0</v>
      </c>
      <c r="C2" s="7">
        <v>1.181</v>
      </c>
      <c r="D2" s="6"/>
    </row>
    <row r="3" spans="2:11">
      <c r="B3" s="6" t="s">
        <v>1</v>
      </c>
      <c r="C3" s="7">
        <v>1.1617999999999999</v>
      </c>
      <c r="D3" s="6"/>
    </row>
    <row r="4" spans="2:11">
      <c r="B4" s="6" t="s">
        <v>6</v>
      </c>
      <c r="C4" s="7">
        <v>1.0869</v>
      </c>
      <c r="D4" s="9">
        <v>6304</v>
      </c>
    </row>
    <row r="5" spans="2:11">
      <c r="B5" s="6" t="s">
        <v>7</v>
      </c>
      <c r="C5" s="7">
        <v>1.8839999999999999</v>
      </c>
      <c r="D5" s="9"/>
    </row>
    <row r="6" spans="2:11">
      <c r="B6" s="6" t="s">
        <v>8</v>
      </c>
      <c r="C6" s="7">
        <v>0.6623</v>
      </c>
      <c r="D6" s="10" t="s">
        <v>18</v>
      </c>
    </row>
    <row r="7" spans="2:11">
      <c r="B7" s="6" t="s">
        <v>9</v>
      </c>
      <c r="C7" s="11" t="s">
        <v>5</v>
      </c>
      <c r="D7" s="9"/>
    </row>
    <row r="8" spans="2:11">
      <c r="B8" s="6" t="s">
        <v>10</v>
      </c>
      <c r="C8" s="7">
        <v>1.3725000000000001</v>
      </c>
      <c r="D8" s="10" t="s">
        <v>21</v>
      </c>
    </row>
    <row r="9" spans="2:11">
      <c r="B9" s="6" t="s">
        <v>11</v>
      </c>
      <c r="C9" s="7">
        <v>0.68600000000000005</v>
      </c>
      <c r="D9" s="9"/>
    </row>
    <row r="10" spans="2:11">
      <c r="B10" s="6" t="s">
        <v>12</v>
      </c>
      <c r="C10" s="7">
        <v>1.0289999999999999</v>
      </c>
      <c r="D10" s="6"/>
    </row>
    <row r="11" spans="2:11">
      <c r="B11" s="6" t="s">
        <v>13</v>
      </c>
      <c r="C11" s="7">
        <v>1.304</v>
      </c>
      <c r="D11" s="6"/>
      <c r="I11" s="8">
        <v>1</v>
      </c>
      <c r="J11" s="8">
        <v>5</v>
      </c>
      <c r="K11" s="8" t="s">
        <v>76</v>
      </c>
    </row>
    <row r="12" spans="2:11">
      <c r="B12" s="6" t="s">
        <v>14</v>
      </c>
      <c r="C12" s="7">
        <v>1.901</v>
      </c>
      <c r="D12" s="6"/>
      <c r="I12" s="8">
        <f>AVERAGE(I11,I13)</f>
        <v>1.2</v>
      </c>
      <c r="J12" s="8">
        <f>AVERAGE(J11,J13)</f>
        <v>3.5</v>
      </c>
      <c r="K12" s="8" t="s">
        <v>78</v>
      </c>
    </row>
    <row r="13" spans="2:11">
      <c r="B13" s="6" t="s">
        <v>15</v>
      </c>
      <c r="C13" s="7">
        <v>2.4289999999999998</v>
      </c>
      <c r="D13" s="6"/>
      <c r="I13" s="8">
        <v>1.4</v>
      </c>
      <c r="J13" s="8">
        <v>2</v>
      </c>
      <c r="K13" s="8" t="s">
        <v>77</v>
      </c>
    </row>
    <row r="14" spans="2:11">
      <c r="B14" s="6" t="s">
        <v>16</v>
      </c>
      <c r="C14" s="7">
        <v>6.657</v>
      </c>
      <c r="D14" s="6"/>
    </row>
    <row r="15" spans="2:11">
      <c r="B15" s="6" t="s">
        <v>17</v>
      </c>
      <c r="C15" s="7">
        <v>1.0570999999999999</v>
      </c>
      <c r="D15" s="6"/>
    </row>
    <row r="16" spans="2:11">
      <c r="B16" s="6" t="s">
        <v>87</v>
      </c>
      <c r="C16" s="7">
        <v>1.0999999999999999E-2</v>
      </c>
    </row>
    <row r="17" spans="2:18">
      <c r="B17" s="6" t="s">
        <v>88</v>
      </c>
      <c r="C17" s="7">
        <f>SQRT($C$5/2)</f>
        <v>0.97056684468407428</v>
      </c>
    </row>
    <row r="18" spans="2:18">
      <c r="B18" s="6" t="s">
        <v>89</v>
      </c>
      <c r="C18" s="7">
        <f>SQRT($C$5/7.5)</f>
        <v>0.50119856344566671</v>
      </c>
    </row>
    <row r="19" spans="2:18">
      <c r="B19" s="6" t="s">
        <v>90</v>
      </c>
      <c r="C19" s="7">
        <f>SQRT($C$5/20)</f>
        <v>0.30692018506445612</v>
      </c>
    </row>
    <row r="22" spans="2:18">
      <c r="B22" s="8" t="s">
        <v>79</v>
      </c>
      <c r="C22" s="8" t="s">
        <v>80</v>
      </c>
      <c r="D22" s="8" t="s">
        <v>81</v>
      </c>
      <c r="E22" s="8" t="s">
        <v>82</v>
      </c>
      <c r="F22" s="8" t="s">
        <v>83</v>
      </c>
    </row>
    <row r="23" spans="2:18">
      <c r="B23" s="8">
        <v>1</v>
      </c>
      <c r="C23" s="12">
        <v>1.2E-2</v>
      </c>
      <c r="D23" s="12"/>
      <c r="E23" s="12"/>
      <c r="F23" s="13" t="str">
        <f>ROUND(SQRT(C23^3/$C$2),4)&amp;"Ⓟ"</f>
        <v>0.0012Ⓟ</v>
      </c>
      <c r="G23" s="14">
        <f>(2*E23)-1</f>
        <v>-1</v>
      </c>
    </row>
    <row r="24" spans="2:18">
      <c r="B24" s="8">
        <v>2</v>
      </c>
      <c r="C24" s="12">
        <v>1.7000000000000001E-2</v>
      </c>
      <c r="D24" s="12">
        <f>C24/C23</f>
        <v>1.4166666666666667</v>
      </c>
      <c r="E24" s="12">
        <f>C24-C23</f>
        <v>5.000000000000001E-3</v>
      </c>
      <c r="F24" s="13" t="str">
        <f t="shared" ref="F24:F33" si="0">ROUND(SQRT(C24^3/$C$2),4)&amp;"Ⓟ"</f>
        <v>0.002Ⓟ</v>
      </c>
      <c r="G24" s="14">
        <f t="shared" ref="G24:G28" si="1">(2*E24)-1</f>
        <v>-0.99</v>
      </c>
    </row>
    <row r="25" spans="2:18">
      <c r="B25" s="8">
        <v>3</v>
      </c>
      <c r="C25" s="12">
        <v>0.06</v>
      </c>
      <c r="D25" s="12">
        <f t="shared" ref="D25:D33" si="2">C25/C24</f>
        <v>3.5294117647058818</v>
      </c>
      <c r="E25" s="12">
        <f t="shared" ref="E25:E33" si="3">C25-C24</f>
        <v>4.2999999999999997E-2</v>
      </c>
      <c r="F25" s="13" t="str">
        <f t="shared" si="0"/>
        <v>0.0135Ⓟ</v>
      </c>
      <c r="G25" s="14">
        <f t="shared" si="1"/>
        <v>-0.91400000000000003</v>
      </c>
    </row>
    <row r="26" spans="2:18">
      <c r="B26" s="8">
        <v>4</v>
      </c>
      <c r="C26" s="12">
        <v>0.113</v>
      </c>
      <c r="D26" s="12">
        <f t="shared" si="2"/>
        <v>1.8833333333333335</v>
      </c>
      <c r="E26" s="12">
        <f t="shared" si="3"/>
        <v>5.3000000000000005E-2</v>
      </c>
      <c r="F26" s="13" t="str">
        <f t="shared" si="0"/>
        <v>0.035Ⓟ</v>
      </c>
      <c r="G26" s="14">
        <f t="shared" si="1"/>
        <v>-0.89400000000000002</v>
      </c>
      <c r="N26" s="8">
        <v>2</v>
      </c>
      <c r="O26" s="8">
        <v>3</v>
      </c>
      <c r="P26" s="8">
        <v>4</v>
      </c>
      <c r="Q26" s="8">
        <v>5</v>
      </c>
    </row>
    <row r="27" spans="2:18">
      <c r="B27" s="8">
        <v>5</v>
      </c>
      <c r="C27" s="12">
        <v>0.32900000000000001</v>
      </c>
      <c r="D27" s="12">
        <f t="shared" si="2"/>
        <v>2.9115044247787609</v>
      </c>
      <c r="E27" s="12">
        <f t="shared" si="3"/>
        <v>0.21600000000000003</v>
      </c>
      <c r="F27" s="13" t="str">
        <f t="shared" si="0"/>
        <v>0.1736Ⓟ</v>
      </c>
      <c r="G27" s="14">
        <f t="shared" si="1"/>
        <v>-0.56799999999999995</v>
      </c>
      <c r="M27" s="8">
        <v>1</v>
      </c>
      <c r="N27" s="8" t="str">
        <f>N$26&amp;":"&amp;$M27</f>
        <v>2:1</v>
      </c>
      <c r="O27" s="8" t="str">
        <f>O$26&amp;":"&amp;$M27</f>
        <v>3:1</v>
      </c>
      <c r="P27" s="8" t="str">
        <f>P$26&amp;":"&amp;$M27</f>
        <v>4:1</v>
      </c>
      <c r="Q27" s="8" t="str">
        <f>Q$26&amp;":"&amp;$M27</f>
        <v>5:1</v>
      </c>
    </row>
    <row r="28" spans="2:18">
      <c r="B28" s="8">
        <v>6</v>
      </c>
      <c r="C28" s="12">
        <v>0.46800000000000003</v>
      </c>
      <c r="D28" s="12">
        <f t="shared" si="2"/>
        <v>1.4224924012158056</v>
      </c>
      <c r="E28" s="12">
        <f t="shared" si="3"/>
        <v>0.13900000000000001</v>
      </c>
      <c r="F28" s="13" t="str">
        <f t="shared" si="0"/>
        <v>0.2946Ⓟ</v>
      </c>
      <c r="G28" s="14">
        <f t="shared" si="1"/>
        <v>-0.72199999999999998</v>
      </c>
      <c r="M28" s="8">
        <v>2</v>
      </c>
      <c r="O28" s="8" t="str">
        <f t="shared" ref="O28:Q29" si="4">O$26&amp;":"&amp;$M28</f>
        <v>3:2</v>
      </c>
      <c r="Q28" s="8" t="str">
        <f t="shared" si="4"/>
        <v>5:2</v>
      </c>
    </row>
    <row r="29" spans="2:18">
      <c r="B29" s="8">
        <v>7</v>
      </c>
      <c r="C29" s="12">
        <v>1.3725000000000001</v>
      </c>
      <c r="D29" s="12">
        <f t="shared" si="2"/>
        <v>2.9326923076923075</v>
      </c>
      <c r="E29" s="12">
        <f t="shared" si="3"/>
        <v>0.90450000000000008</v>
      </c>
      <c r="F29" s="13" t="str">
        <f t="shared" si="0"/>
        <v>1.4796Ⓟ</v>
      </c>
      <c r="M29" s="8">
        <v>3</v>
      </c>
      <c r="P29" s="8" t="str">
        <f t="shared" si="4"/>
        <v>4:3</v>
      </c>
      <c r="Q29" s="8" t="str">
        <f t="shared" si="4"/>
        <v>5:3</v>
      </c>
    </row>
    <row r="30" spans="2:18">
      <c r="B30" s="8">
        <v>8</v>
      </c>
      <c r="C30" s="12">
        <v>2.1440000000000001</v>
      </c>
      <c r="D30" s="12">
        <f t="shared" si="2"/>
        <v>1.5621129326047358</v>
      </c>
      <c r="E30" s="12">
        <f t="shared" si="3"/>
        <v>0.77150000000000007</v>
      </c>
      <c r="F30" s="13" t="str">
        <f t="shared" si="0"/>
        <v>2.8888Ⓟ</v>
      </c>
      <c r="H30" s="13">
        <f>SQRT(C30^3/$C$2)</f>
        <v>2.8887650608226996</v>
      </c>
    </row>
    <row r="31" spans="2:18">
      <c r="B31" s="8">
        <v>9</v>
      </c>
      <c r="C31" s="12">
        <v>4.4660000000000002</v>
      </c>
      <c r="D31" s="12">
        <f t="shared" si="2"/>
        <v>2.0830223880597014</v>
      </c>
      <c r="E31" s="12">
        <f t="shared" si="3"/>
        <v>2.3220000000000001</v>
      </c>
      <c r="F31" s="13" t="str">
        <f t="shared" si="0"/>
        <v>8.6847Ⓟ</v>
      </c>
      <c r="H31" s="13">
        <f>SQRT(C31^3/$C$2)</f>
        <v>8.6846661708770725</v>
      </c>
      <c r="I31" s="8">
        <f>H31/H30</f>
        <v>3.0063594608845561</v>
      </c>
    </row>
    <row r="32" spans="2:18">
      <c r="B32" s="8">
        <v>10</v>
      </c>
      <c r="C32" s="12">
        <v>9.4440000000000008</v>
      </c>
      <c r="D32" s="12">
        <f t="shared" si="2"/>
        <v>2.1146439767129421</v>
      </c>
      <c r="E32" s="12">
        <f t="shared" si="3"/>
        <v>4.9780000000000006</v>
      </c>
      <c r="F32" s="13" t="str">
        <f t="shared" si="0"/>
        <v>26.706Ⓟ</v>
      </c>
      <c r="H32" s="13">
        <f>SQRT(C32^3/$C$2)</f>
        <v>26.70601070818719</v>
      </c>
      <c r="L32" s="8" t="s">
        <v>100</v>
      </c>
      <c r="M32" s="15" t="s">
        <v>101</v>
      </c>
      <c r="N32" s="8" t="s">
        <v>99</v>
      </c>
      <c r="O32" s="15" t="s">
        <v>102</v>
      </c>
      <c r="P32" s="8" t="s">
        <v>99</v>
      </c>
      <c r="Q32" s="8" t="s">
        <v>100</v>
      </c>
      <c r="R32" s="8" t="str" cm="1">
        <f t="array" ref="R32">_xlfn.TEXTSPLIT(L32,":")</f>
        <v>ratio</v>
      </c>
    </row>
    <row r="33" spans="2:22">
      <c r="B33" s="8">
        <v>11</v>
      </c>
      <c r="C33" s="12">
        <v>19.073</v>
      </c>
      <c r="D33" s="12">
        <f t="shared" si="2"/>
        <v>2.0195891571368061</v>
      </c>
      <c r="E33" s="12">
        <f t="shared" si="3"/>
        <v>9.6289999999999996</v>
      </c>
      <c r="F33" s="13" t="str">
        <f t="shared" si="0"/>
        <v>76.6485Ⓟ</v>
      </c>
      <c r="H33" s="13">
        <f>SQRT(C33^3/$C$2)</f>
        <v>76.648483085908964</v>
      </c>
      <c r="L33" s="15" t="s">
        <v>97</v>
      </c>
      <c r="M33" s="15" t="s">
        <v>101</v>
      </c>
      <c r="N33" s="8">
        <v>1.333</v>
      </c>
      <c r="O33" s="15" t="s">
        <v>102</v>
      </c>
      <c r="P33" s="8">
        <v>1.333</v>
      </c>
      <c r="Q33" s="15" t="s">
        <v>97</v>
      </c>
      <c r="R33" s="16">
        <v>4</v>
      </c>
      <c r="S33" s="16">
        <v>3</v>
      </c>
      <c r="T33" s="8">
        <f>ABS(R33-S33)</f>
        <v>1</v>
      </c>
      <c r="U33" s="8">
        <f t="shared" ref="U33:U40" si="5">(ABS(R33-S33))/(R33+S33)</f>
        <v>0.14285714285714285</v>
      </c>
      <c r="V33" s="8" cm="1">
        <f t="array" ref="V33">RECIP(U33)</f>
        <v>7</v>
      </c>
    </row>
    <row r="34" spans="2:22">
      <c r="L34" s="15" t="s">
        <v>96</v>
      </c>
      <c r="M34" s="15" t="s">
        <v>101</v>
      </c>
      <c r="N34" s="8">
        <v>1.5</v>
      </c>
      <c r="O34" s="15" t="s">
        <v>102</v>
      </c>
      <c r="P34" s="8">
        <v>1.5</v>
      </c>
      <c r="Q34" s="15" t="s">
        <v>96</v>
      </c>
      <c r="R34" s="16">
        <v>3</v>
      </c>
      <c r="S34" s="16">
        <v>2</v>
      </c>
      <c r="T34" s="8">
        <f t="shared" ref="T34:T40" si="6">ABS(R34-S34)</f>
        <v>1</v>
      </c>
      <c r="U34" s="8">
        <f t="shared" si="5"/>
        <v>0.2</v>
      </c>
      <c r="V34" s="8" cm="1">
        <f t="array" ref="V34">RECIP(U34)</f>
        <v>5</v>
      </c>
    </row>
    <row r="35" spans="2:22">
      <c r="B35" s="17" t="s">
        <v>85</v>
      </c>
      <c r="C35" s="17" t="s">
        <v>84</v>
      </c>
      <c r="D35" s="17" t="s">
        <v>86</v>
      </c>
      <c r="E35" s="17" t="s">
        <v>91</v>
      </c>
      <c r="L35" s="15" t="s">
        <v>103</v>
      </c>
      <c r="M35" s="15" t="s">
        <v>101</v>
      </c>
      <c r="N35" s="8">
        <v>1.667</v>
      </c>
      <c r="O35" s="15" t="s">
        <v>102</v>
      </c>
      <c r="P35" s="8">
        <v>1.667</v>
      </c>
      <c r="Q35" s="15" t="s">
        <v>103</v>
      </c>
      <c r="R35" s="16">
        <v>5</v>
      </c>
      <c r="S35" s="16">
        <v>3</v>
      </c>
      <c r="T35" s="8">
        <f t="shared" si="6"/>
        <v>2</v>
      </c>
      <c r="U35" s="8">
        <f t="shared" si="5"/>
        <v>0.25</v>
      </c>
      <c r="V35" s="8" cm="1">
        <f t="array" ref="V35">RECIP(U35)</f>
        <v>4</v>
      </c>
    </row>
    <row r="36" spans="2:22">
      <c r="B36" s="18" t="s">
        <v>87</v>
      </c>
      <c r="C36" s="7">
        <v>1.0999999999999999E-2</v>
      </c>
      <c r="D36" s="16"/>
      <c r="L36" s="15" t="s">
        <v>93</v>
      </c>
      <c r="M36" s="15" t="s">
        <v>101</v>
      </c>
      <c r="N36" s="8">
        <v>2</v>
      </c>
      <c r="O36" s="15" t="s">
        <v>102</v>
      </c>
      <c r="P36" s="8">
        <v>2</v>
      </c>
      <c r="Q36" s="15" t="s">
        <v>93</v>
      </c>
      <c r="R36" s="16">
        <v>2</v>
      </c>
      <c r="S36" s="16">
        <v>1</v>
      </c>
      <c r="T36" s="8">
        <f t="shared" si="6"/>
        <v>1</v>
      </c>
      <c r="U36" s="8">
        <f t="shared" si="5"/>
        <v>0.33333333333333331</v>
      </c>
      <c r="V36" s="8" cm="1">
        <f t="array" ref="V36">RECIP(U36)</f>
        <v>3</v>
      </c>
    </row>
    <row r="37" spans="2:22">
      <c r="B37" s="19">
        <v>1</v>
      </c>
      <c r="C37" s="12">
        <v>1.2E-2</v>
      </c>
      <c r="D37" s="13" t="str">
        <f>ROUND(SQRT(C37^3/$C$2),4)&amp;"Ⓟ"</f>
        <v>0.0012Ⓟ</v>
      </c>
      <c r="E37" s="12">
        <f>(2*C37/$C$50)-1</f>
        <v>-0.98251366120218575</v>
      </c>
      <c r="L37" s="15" t="s">
        <v>98</v>
      </c>
      <c r="M37" s="15" t="s">
        <v>101</v>
      </c>
      <c r="N37" s="8">
        <v>2.5</v>
      </c>
      <c r="O37" s="15" t="s">
        <v>102</v>
      </c>
      <c r="P37" s="8">
        <v>2.5</v>
      </c>
      <c r="Q37" s="15" t="s">
        <v>98</v>
      </c>
      <c r="R37" s="16">
        <v>5</v>
      </c>
      <c r="S37" s="16">
        <v>2</v>
      </c>
      <c r="T37" s="8">
        <f t="shared" si="6"/>
        <v>3</v>
      </c>
      <c r="U37" s="8">
        <f t="shared" si="5"/>
        <v>0.42857142857142855</v>
      </c>
      <c r="V37" s="8" cm="1">
        <f t="array" ref="V37">RECIP(U37)</f>
        <v>2.3333333333333335</v>
      </c>
    </row>
    <row r="38" spans="2:22">
      <c r="B38" s="19">
        <v>2</v>
      </c>
      <c r="C38" s="12">
        <v>1.7000000000000001E-2</v>
      </c>
      <c r="D38" s="13" t="str">
        <f t="shared" ref="D38:D44" si="7">ROUND(SQRT(C38^3/$C$2),4)&amp;"Ⓟ"</f>
        <v>0.002Ⓟ</v>
      </c>
      <c r="E38" s="12">
        <f>(2*C38/$C$50)-1</f>
        <v>-0.97522768670309656</v>
      </c>
      <c r="L38" s="15" t="s">
        <v>92</v>
      </c>
      <c r="M38" s="15" t="s">
        <v>101</v>
      </c>
      <c r="N38" s="8">
        <v>3</v>
      </c>
      <c r="O38" s="15" t="s">
        <v>102</v>
      </c>
      <c r="P38" s="8">
        <v>3</v>
      </c>
      <c r="Q38" s="15" t="s">
        <v>92</v>
      </c>
      <c r="R38" s="16">
        <v>3</v>
      </c>
      <c r="S38" s="16">
        <v>1</v>
      </c>
      <c r="T38" s="8">
        <f t="shared" si="6"/>
        <v>2</v>
      </c>
      <c r="U38" s="8">
        <f t="shared" si="5"/>
        <v>0.5</v>
      </c>
      <c r="V38" s="8" cm="1">
        <f t="array" ref="V38">RECIP(U38)</f>
        <v>2</v>
      </c>
    </row>
    <row r="39" spans="2:22">
      <c r="B39" s="19">
        <v>3</v>
      </c>
      <c r="C39" s="12">
        <v>0.06</v>
      </c>
      <c r="D39" s="13" t="str">
        <f t="shared" si="7"/>
        <v>0.0135Ⓟ</v>
      </c>
      <c r="E39" s="12">
        <f>(2*C39/$C$50)-1</f>
        <v>-0.91256830601092898</v>
      </c>
      <c r="L39" s="15" t="s">
        <v>94</v>
      </c>
      <c r="M39" s="15" t="s">
        <v>101</v>
      </c>
      <c r="N39" s="8">
        <v>4</v>
      </c>
      <c r="O39" s="15" t="s">
        <v>102</v>
      </c>
      <c r="P39" s="8">
        <v>4</v>
      </c>
      <c r="Q39" s="15" t="s">
        <v>94</v>
      </c>
      <c r="R39" s="16">
        <v>4</v>
      </c>
      <c r="S39" s="16">
        <v>1</v>
      </c>
      <c r="T39" s="8">
        <f t="shared" si="6"/>
        <v>3</v>
      </c>
      <c r="U39" s="8">
        <f t="shared" si="5"/>
        <v>0.6</v>
      </c>
      <c r="V39" s="8" cm="1">
        <f t="array" ref="V39">RECIP(U39)</f>
        <v>1.6666666666666667</v>
      </c>
    </row>
    <row r="40" spans="2:22">
      <c r="B40" s="19">
        <v>4</v>
      </c>
      <c r="C40" s="12">
        <v>0.113</v>
      </c>
      <c r="D40" s="13" t="str">
        <f t="shared" si="7"/>
        <v>0.035Ⓟ</v>
      </c>
      <c r="E40" s="12">
        <f>(2*C40/$C$50)-1</f>
        <v>-0.8353369763205829</v>
      </c>
      <c r="L40" s="15" t="s">
        <v>95</v>
      </c>
      <c r="M40" s="15" t="s">
        <v>101</v>
      </c>
      <c r="N40" s="8">
        <v>5</v>
      </c>
      <c r="O40" s="15" t="s">
        <v>102</v>
      </c>
      <c r="P40" s="8">
        <v>5</v>
      </c>
      <c r="Q40" s="15" t="s">
        <v>95</v>
      </c>
      <c r="R40" s="16">
        <v>5</v>
      </c>
      <c r="S40" s="16">
        <v>1</v>
      </c>
      <c r="T40" s="8">
        <f t="shared" si="6"/>
        <v>4</v>
      </c>
      <c r="U40" s="8">
        <f t="shared" si="5"/>
        <v>0.66666666666666663</v>
      </c>
      <c r="V40" s="8" cm="1">
        <f t="array" ref="V40">RECIP(U40)</f>
        <v>1.5</v>
      </c>
    </row>
    <row r="41" spans="2:22">
      <c r="B41" s="18" t="s">
        <v>90</v>
      </c>
      <c r="C41" s="7">
        <v>0.30690000000000001</v>
      </c>
      <c r="D41" s="16"/>
      <c r="E41" s="12"/>
    </row>
    <row r="42" spans="2:22">
      <c r="B42" s="19">
        <v>5</v>
      </c>
      <c r="C42" s="12">
        <v>0.32900000000000001</v>
      </c>
      <c r="D42" s="13" t="str">
        <f t="shared" si="7"/>
        <v>0.1736Ⓟ</v>
      </c>
      <c r="E42" s="12">
        <f>(2*C42/$C$50)-1</f>
        <v>-0.52058287795992708</v>
      </c>
    </row>
    <row r="43" spans="2:22">
      <c r="B43" s="18" t="s">
        <v>89</v>
      </c>
      <c r="C43" s="7">
        <v>0.50119999999999998</v>
      </c>
      <c r="D43" s="16"/>
      <c r="E43" s="12"/>
    </row>
    <row r="44" spans="2:22">
      <c r="B44" s="19">
        <v>6</v>
      </c>
      <c r="C44" s="12">
        <v>0.46800000000000003</v>
      </c>
      <c r="D44" s="13" t="str">
        <f t="shared" si="7"/>
        <v>0.2946Ⓟ</v>
      </c>
      <c r="E44" s="12">
        <f>(2*C44/$C$50)-1</f>
        <v>-0.31803278688524594</v>
      </c>
    </row>
    <row r="45" spans="2:22">
      <c r="B45" s="18" t="s">
        <v>11</v>
      </c>
      <c r="C45" s="7">
        <v>0.68600000000000005</v>
      </c>
      <c r="D45" s="16"/>
    </row>
    <row r="46" spans="2:22">
      <c r="B46" s="18" t="s">
        <v>88</v>
      </c>
      <c r="C46" s="7">
        <v>0.97060000000000002</v>
      </c>
      <c r="D46" s="16"/>
      <c r="M46" s="8" t="s">
        <v>179</v>
      </c>
      <c r="N46" s="12">
        <f>C2</f>
        <v>1.181</v>
      </c>
    </row>
    <row r="47" spans="2:22">
      <c r="B47" s="18" t="s">
        <v>12</v>
      </c>
      <c r="C47" s="7">
        <v>1.0289999999999999</v>
      </c>
      <c r="D47" s="16"/>
      <c r="P47" s="8" t="s">
        <v>121</v>
      </c>
      <c r="U47" s="8" t="s">
        <v>123</v>
      </c>
    </row>
    <row r="48" spans="2:22">
      <c r="B48" s="18" t="s">
        <v>17</v>
      </c>
      <c r="C48" s="7">
        <v>1.0570999999999999</v>
      </c>
      <c r="D48" s="13" t="str">
        <f t="shared" ref="D48" si="8">ROUND(SQRT(C48^3/$C$2),4)&amp;"Ⓟ"</f>
        <v>1.0001Ⓟ</v>
      </c>
      <c r="E48" s="12">
        <f>(2*C48/$C$50)-1</f>
        <v>0.5404007285974497</v>
      </c>
      <c r="I48" s="8" t="s">
        <v>106</v>
      </c>
      <c r="J48" s="8" t="s">
        <v>107</v>
      </c>
      <c r="K48" s="8" t="s">
        <v>0</v>
      </c>
      <c r="M48" s="8" t="s">
        <v>113</v>
      </c>
      <c r="N48" s="14">
        <f>C63</f>
        <v>1</v>
      </c>
      <c r="P48" s="8" t="s">
        <v>122</v>
      </c>
      <c r="R48" s="8" t="s">
        <v>119</v>
      </c>
      <c r="S48" s="14">
        <f>C64</f>
        <v>1.25</v>
      </c>
      <c r="U48" s="8" t="s">
        <v>122</v>
      </c>
    </row>
    <row r="49" spans="2:31">
      <c r="B49" s="18" t="s">
        <v>13</v>
      </c>
      <c r="C49" s="7">
        <v>1.304</v>
      </c>
      <c r="D49" s="16"/>
      <c r="H49" s="8" t="s">
        <v>104</v>
      </c>
      <c r="I49" s="8">
        <v>9.4440000000000008</v>
      </c>
      <c r="J49" s="22">
        <f>H32</f>
        <v>26.70601070818719</v>
      </c>
      <c r="K49" s="8" t="s">
        <v>125</v>
      </c>
      <c r="M49" s="8" t="s">
        <v>115</v>
      </c>
      <c r="N49" s="22">
        <f>SQRT(N48^3/$N$46)</f>
        <v>0.92018479166111145</v>
      </c>
      <c r="O49" s="8" t="s">
        <v>114</v>
      </c>
      <c r="R49" s="8" t="s">
        <v>120</v>
      </c>
      <c r="S49" s="22">
        <f>SQRT(S48^3/$N$46)</f>
        <v>1.2859973412598293</v>
      </c>
      <c r="T49" s="8" t="s">
        <v>114</v>
      </c>
    </row>
    <row r="50" spans="2:31">
      <c r="B50" s="19" t="s">
        <v>10</v>
      </c>
      <c r="C50" s="12">
        <v>1.3725000000000001</v>
      </c>
      <c r="D50" s="13" t="str">
        <f t="shared" ref="D50" si="9">ROUND(SQRT(C50^3/$C$2),4)&amp;"Ⓟ"</f>
        <v>1.4796Ⓟ</v>
      </c>
      <c r="E50" s="12">
        <f>-0.26*C50/$C$50+1.26</f>
        <v>1</v>
      </c>
      <c r="H50" s="8" t="s">
        <v>105</v>
      </c>
      <c r="I50" s="12">
        <f>C33</f>
        <v>19.073</v>
      </c>
      <c r="J50" s="22">
        <f>H33</f>
        <v>76.648483085908964</v>
      </c>
      <c r="K50" s="8" t="s">
        <v>124</v>
      </c>
      <c r="M50" s="8" t="s">
        <v>108</v>
      </c>
      <c r="N50" s="8" t="s">
        <v>95</v>
      </c>
      <c r="O50" s="8">
        <v>5</v>
      </c>
      <c r="P50" s="14" cm="1">
        <f t="array" ref="P50">ROOT(($N$49*O50)^2*$C$2,3)</f>
        <v>2.924017738212866</v>
      </c>
      <c r="Q50" s="14"/>
      <c r="R50" s="8" t="s">
        <v>108</v>
      </c>
      <c r="S50" s="8" t="s">
        <v>95</v>
      </c>
      <c r="T50" s="8">
        <v>5</v>
      </c>
      <c r="U50" s="14" cm="1">
        <f t="array" ref="U50">ROOT(($S$49/T50)^2*$C$2,3)</f>
        <v>0.42749398666917432</v>
      </c>
      <c r="AC50" s="14"/>
      <c r="AD50" s="14"/>
      <c r="AE50" s="14"/>
    </row>
    <row r="51" spans="2:31">
      <c r="B51" s="18" t="s">
        <v>14</v>
      </c>
      <c r="C51" s="7">
        <v>1.901</v>
      </c>
      <c r="D51" s="16"/>
      <c r="H51" s="8">
        <v>1.333</v>
      </c>
      <c r="I51" s="8">
        <v>3.687216335055207</v>
      </c>
      <c r="J51" s="8">
        <v>6.5151284102603695</v>
      </c>
      <c r="M51" s="8" t="s">
        <v>109</v>
      </c>
      <c r="N51" s="8" t="s">
        <v>94</v>
      </c>
      <c r="O51" s="8">
        <v>4</v>
      </c>
      <c r="P51" s="14" cm="1">
        <f t="array" ref="P51">ROOT(($N$49*O51)^2*$C$2,3)</f>
        <v>2.5198420997897459</v>
      </c>
      <c r="Q51" s="14"/>
      <c r="R51" s="8" t="s">
        <v>109</v>
      </c>
      <c r="S51" s="8" t="s">
        <v>94</v>
      </c>
      <c r="T51" s="8">
        <v>4</v>
      </c>
      <c r="U51" s="14" cm="1">
        <f t="array" ref="U51">ROOT(($S$49/T51)^2*$C$2,3)</f>
        <v>0.49606282874006236</v>
      </c>
      <c r="AE51" s="14"/>
    </row>
    <row r="52" spans="2:31">
      <c r="B52" s="19">
        <v>8</v>
      </c>
      <c r="C52" s="12">
        <v>2.1440000000000001</v>
      </c>
      <c r="D52" s="13" t="str">
        <f t="shared" ref="D52" si="10">ROUND(SQRT(C52^3/$C$2),4)&amp;"Ⓟ"</f>
        <v>2.8888Ⓟ</v>
      </c>
      <c r="E52" s="12">
        <f>-0.26*C52/$C$50+1.26</f>
        <v>0.85385063752276869</v>
      </c>
      <c r="H52" s="8">
        <v>1.5</v>
      </c>
      <c r="I52" s="8">
        <v>3.4081958714954532</v>
      </c>
      <c r="J52" s="8">
        <v>5.7897774472513817</v>
      </c>
      <c r="M52" s="8" t="s">
        <v>110</v>
      </c>
      <c r="N52" s="8" t="s">
        <v>92</v>
      </c>
      <c r="O52" s="8">
        <v>3</v>
      </c>
      <c r="P52" s="14" cm="1">
        <f t="array" ref="P52">ROOT(($N$49*O52)^2*$C$2,3)</f>
        <v>2.0800838230519041</v>
      </c>
      <c r="R52" s="8" t="s">
        <v>110</v>
      </c>
      <c r="S52" s="8" t="s">
        <v>92</v>
      </c>
      <c r="T52" s="8">
        <v>3</v>
      </c>
      <c r="U52" s="14" cm="1">
        <f t="array" ref="U52">ROOT(($S$49/T52)^2*$C$2,3)</f>
        <v>0.60093732096142027</v>
      </c>
      <c r="AE52" s="14"/>
    </row>
    <row r="53" spans="2:31">
      <c r="B53" s="18" t="s">
        <v>15</v>
      </c>
      <c r="C53" s="7">
        <v>2.4289999999999998</v>
      </c>
      <c r="D53" s="16"/>
      <c r="H53" s="8">
        <v>1.667</v>
      </c>
      <c r="I53" s="8">
        <v>3.1765935678784119</v>
      </c>
      <c r="J53" s="8">
        <v>5.2097577509760482</v>
      </c>
      <c r="M53" s="8" t="s">
        <v>111</v>
      </c>
      <c r="N53" s="8" t="s">
        <v>98</v>
      </c>
      <c r="O53" s="8">
        <v>2.5</v>
      </c>
      <c r="P53" s="14" cm="1">
        <f t="array" ref="P53">ROOT(($N$49*O53)^2*$C$2,3)</f>
        <v>1.8420157493201932</v>
      </c>
      <c r="R53" s="8" t="s">
        <v>111</v>
      </c>
      <c r="S53" s="8" t="s">
        <v>98</v>
      </c>
      <c r="T53" s="8">
        <v>2.5</v>
      </c>
      <c r="U53" s="14" cm="1">
        <f t="array" ref="U53">ROOT(($S$49/T53)^2*$C$2,3)</f>
        <v>0.6786044041487268</v>
      </c>
      <c r="AE53" s="14"/>
    </row>
    <row r="54" spans="2:31">
      <c r="B54" s="19">
        <v>9</v>
      </c>
      <c r="C54" s="12">
        <v>4.4660000000000002</v>
      </c>
      <c r="D54" s="13" t="str">
        <f t="shared" ref="D54" si="11">ROUND(SQRT(C54^3/$C$2),4)&amp;"Ⓟ"</f>
        <v>8.6847Ⓟ</v>
      </c>
      <c r="E54" s="12">
        <f>-0.26*C54/$C$50+1.26</f>
        <v>0.41398178506375216</v>
      </c>
      <c r="H54" s="8">
        <v>2</v>
      </c>
      <c r="I54" s="8">
        <v>2.8134037044152516</v>
      </c>
      <c r="J54" s="8">
        <v>4.3423330854385362</v>
      </c>
      <c r="M54" s="8" t="s">
        <v>112</v>
      </c>
      <c r="N54" s="8" t="s">
        <v>93</v>
      </c>
      <c r="O54" s="8">
        <v>2</v>
      </c>
      <c r="P54" s="14" cm="1">
        <f t="array" ref="P54">ROOT(($N$49*O54)^2*$C$2,3)</f>
        <v>1.5874010519681994</v>
      </c>
      <c r="R54" s="8" t="s">
        <v>112</v>
      </c>
      <c r="S54" s="8" t="s">
        <v>93</v>
      </c>
      <c r="T54" s="8">
        <v>2</v>
      </c>
      <c r="U54" s="14" cm="1">
        <f t="array" ref="U54">ROOT(($S$49/T54)^2*$C$2,3)</f>
        <v>0.78745065618429577</v>
      </c>
      <c r="AE54" s="14"/>
    </row>
    <row r="55" spans="2:31">
      <c r="B55" s="18" t="s">
        <v>16</v>
      </c>
      <c r="C55" s="7">
        <v>6.657</v>
      </c>
      <c r="D55" s="16"/>
      <c r="H55" s="8">
        <v>2.5</v>
      </c>
      <c r="I55" s="8">
        <v>2.4245178151425706</v>
      </c>
      <c r="J55" s="8">
        <v>3.4738664683508289</v>
      </c>
      <c r="M55" s="8" t="s">
        <v>116</v>
      </c>
      <c r="N55" s="8" t="s">
        <v>103</v>
      </c>
      <c r="O55" s="8">
        <v>1.667</v>
      </c>
      <c r="P55" s="14" cm="1">
        <f t="array" ref="P55">ROOT(($N$49*O55)^2*$C$2,3)</f>
        <v>1.4059085320703328</v>
      </c>
      <c r="R55" s="8" t="s">
        <v>116</v>
      </c>
      <c r="S55" s="8" t="s">
        <v>103</v>
      </c>
      <c r="T55" s="8">
        <v>1.667</v>
      </c>
      <c r="U55" s="14" cm="1">
        <f t="array" ref="U55">ROOT(($S$49/T55)^2*$C$2,3)</f>
        <v>0.8891047827693721</v>
      </c>
      <c r="AE55" s="14"/>
    </row>
    <row r="56" spans="2:31">
      <c r="B56" s="19">
        <v>10</v>
      </c>
      <c r="C56" s="12">
        <v>9.4440000000000008</v>
      </c>
      <c r="D56" s="13" t="str">
        <f t="shared" ref="D56:D57" si="12">ROUND(SQRT(C56^3/$C$2),4)&amp;"Ⓟ"</f>
        <v>26.706Ⓟ</v>
      </c>
      <c r="E56" s="12">
        <f>-0.26*C56/$C$50+1.26</f>
        <v>-0.52902732240437178</v>
      </c>
      <c r="H56" s="8">
        <v>3</v>
      </c>
      <c r="I56" s="8">
        <v>2.1470288603309622</v>
      </c>
      <c r="J56" s="8">
        <v>2.8948887236256908</v>
      </c>
      <c r="M56" s="8" t="s">
        <v>117</v>
      </c>
      <c r="N56" s="8" t="s">
        <v>96</v>
      </c>
      <c r="O56" s="8">
        <v>1.5</v>
      </c>
      <c r="P56" s="14" cm="1">
        <f t="array" ref="P56">ROOT(($N$49*O56)^2*$C$2,3)</f>
        <v>1.3103706971044482</v>
      </c>
      <c r="R56" s="8" t="s">
        <v>117</v>
      </c>
      <c r="S56" s="8" t="s">
        <v>96</v>
      </c>
      <c r="T56" s="8">
        <v>1.5</v>
      </c>
      <c r="U56" s="14" cm="1">
        <f t="array" ref="U56">ROOT(($S$49/T56)^2*$C$2,3)</f>
        <v>0.95392853546111001</v>
      </c>
      <c r="AE56" s="14"/>
    </row>
    <row r="57" spans="2:31">
      <c r="B57" s="19">
        <v>11</v>
      </c>
      <c r="C57" s="12">
        <v>19.073</v>
      </c>
      <c r="D57" s="13" t="str">
        <f t="shared" si="12"/>
        <v>76.6485Ⓟ</v>
      </c>
      <c r="E57" s="12">
        <f>-0.26*C57/$C$50+1.26</f>
        <v>-2.3531001821493627</v>
      </c>
      <c r="H57" s="8">
        <v>4</v>
      </c>
      <c r="I57" s="8">
        <v>1.7723332745224947</v>
      </c>
      <c r="J57" s="8">
        <v>2.1711665427192681</v>
      </c>
      <c r="M57" s="8" t="s">
        <v>118</v>
      </c>
      <c r="N57" s="8" t="s">
        <v>97</v>
      </c>
      <c r="O57" s="8">
        <v>1.333</v>
      </c>
      <c r="P57" s="14" cm="1">
        <f t="array" ref="P57">ROOT(($N$49*O57)^2*$C$2,3)</f>
        <v>1.2112118178531373</v>
      </c>
      <c r="R57" s="8" t="s">
        <v>118</v>
      </c>
      <c r="S57" s="8" t="s">
        <v>97</v>
      </c>
      <c r="T57" s="8">
        <v>1.333</v>
      </c>
      <c r="U57" s="14" cm="1">
        <f t="array" ref="U57">ROOT(($S$49/T57)^2*$C$2,3)</f>
        <v>1.0320242764932848</v>
      </c>
      <c r="AE57" s="14"/>
    </row>
    <row r="58" spans="2:31">
      <c r="H58" s="8">
        <v>5</v>
      </c>
      <c r="I58" s="8">
        <v>1.5273505155716258</v>
      </c>
      <c r="J58" s="8">
        <v>1.7369332341754145</v>
      </c>
    </row>
    <row r="59" spans="2:31">
      <c r="B59" s="8" t="s">
        <v>163</v>
      </c>
      <c r="C59" s="12">
        <f>333000*C60</f>
        <v>393273</v>
      </c>
    </row>
    <row r="60" spans="2:31">
      <c r="B60" s="8" t="s">
        <v>180</v>
      </c>
      <c r="C60" s="8">
        <v>1.181</v>
      </c>
      <c r="M60" s="8" cm="1">
        <f t="array" ref="M60:M75">_xlfn.VSTACK(P50:P57,U50:U57)</f>
        <v>2.924017738212866</v>
      </c>
      <c r="N60" s="8" cm="1">
        <f t="array" ref="N60:N75">_xlfn.SEQUENCE(COUNTA(O60:O75))</f>
        <v>1</v>
      </c>
      <c r="O60" s="21" cm="1">
        <f t="array" ref="O60:O75">_xlfn._xlws.SORT(_xlfn.ANCHORARRAY(M60))</f>
        <v>0.42749398666917432</v>
      </c>
    </row>
    <row r="61" spans="2:31">
      <c r="B61" s="8" t="s">
        <v>159</v>
      </c>
      <c r="C61" s="8">
        <v>20</v>
      </c>
      <c r="M61" s="8">
        <v>2.5198420997897459</v>
      </c>
      <c r="N61" s="8">
        <v>2</v>
      </c>
      <c r="O61" s="21">
        <v>0.49606282874006236</v>
      </c>
      <c r="P61" s="8">
        <f t="shared" ref="P61:P75" si="13">O61/O60</f>
        <v>1.1603972084031946</v>
      </c>
      <c r="Q61" s="8" t="str">
        <f>"ratio "&amp;_xlfn.TEXTJOIN(" / ",,N61,N60)</f>
        <v>ratio 2 / 1</v>
      </c>
      <c r="R61" s="12">
        <f>O61-O60</f>
        <v>6.8568842070888036E-2</v>
      </c>
      <c r="S61" s="8" t="str">
        <f>"difference  "&amp;_xlfn.TEXTJOIN(" - ",,N61,N60)</f>
        <v>difference  2 - 1</v>
      </c>
      <c r="T61" s="12">
        <f>AVERAGE(O60:O61)</f>
        <v>0.46177840770461831</v>
      </c>
      <c r="U61" s="8" t="str">
        <f>"average  "&amp;_xlfn.TEXTJOIN(", ",,TEXT(O61,"0.###"),TEXT(O60,"0.###"))</f>
        <v>average  0.496, 0.427</v>
      </c>
      <c r="W61" s="8" t="b">
        <f>AND(T61&gt;$C$77,T61&lt;$C$78)</f>
        <v>0</v>
      </c>
    </row>
    <row r="62" spans="2:31">
      <c r="B62" s="8" t="s">
        <v>160</v>
      </c>
      <c r="C62" s="8">
        <v>5</v>
      </c>
      <c r="M62" s="8">
        <v>2.0800838230519041</v>
      </c>
      <c r="N62" s="8">
        <v>3</v>
      </c>
      <c r="O62" s="21">
        <v>0.60093732096142027</v>
      </c>
      <c r="P62" s="8">
        <f t="shared" si="13"/>
        <v>1.2114137285547599</v>
      </c>
      <c r="Q62" s="8" t="str">
        <f t="shared" ref="Q62:Q75" si="14">"ratio "&amp;_xlfn.TEXTJOIN(" / ",,N62,N61)</f>
        <v>ratio 3 / 2</v>
      </c>
    </row>
    <row r="63" spans="2:31">
      <c r="B63" s="8" t="s">
        <v>113</v>
      </c>
      <c r="C63" s="8">
        <v>1</v>
      </c>
      <c r="M63" s="8">
        <v>1.8420157493201932</v>
      </c>
      <c r="N63" s="8">
        <v>4</v>
      </c>
      <c r="O63" s="21">
        <v>0.6786044041487268</v>
      </c>
      <c r="P63" s="8">
        <f t="shared" si="13"/>
        <v>1.1292432346572343</v>
      </c>
      <c r="Q63" s="8" t="str">
        <f t="shared" si="14"/>
        <v>ratio 4 / 3</v>
      </c>
      <c r="R63" s="12">
        <f>O63-O62</f>
        <v>7.7667083187306529E-2</v>
      </c>
      <c r="S63" s="8" t="str">
        <f>"difference  "&amp;_xlfn.TEXTJOIN(" - ",,N63,N62)</f>
        <v>difference  4 - 3</v>
      </c>
      <c r="T63" s="12">
        <f>AVERAGE(O62:O63)</f>
        <v>0.63977086255507354</v>
      </c>
      <c r="U63" s="8" t="str">
        <f>"average  "&amp;_xlfn.TEXTJOIN(", ",,TEXT(O64,"0.###"),TEXT(O63,"0.###"))</f>
        <v>average  0.787, 0.679</v>
      </c>
      <c r="W63" s="8" t="b">
        <f>AND(T63&gt;$C$77,T63&lt;$C$78)</f>
        <v>0</v>
      </c>
    </row>
    <row r="64" spans="2:31">
      <c r="B64" s="8" t="s">
        <v>119</v>
      </c>
      <c r="C64" s="8">
        <v>1.25</v>
      </c>
      <c r="M64" s="8">
        <v>1.5874010519681994</v>
      </c>
      <c r="N64" s="8">
        <v>5</v>
      </c>
      <c r="O64" s="21">
        <v>0.78745065618429577</v>
      </c>
      <c r="P64" s="8">
        <f t="shared" si="13"/>
        <v>1.1603972084031946</v>
      </c>
      <c r="Q64" s="8" t="str">
        <f t="shared" si="14"/>
        <v>ratio 5 / 4</v>
      </c>
      <c r="R64" s="12"/>
    </row>
    <row r="65" spans="2:23">
      <c r="B65" s="8" t="s">
        <v>126</v>
      </c>
      <c r="C65" s="8">
        <f>AVERAGE(C63:C64)</f>
        <v>1.125</v>
      </c>
      <c r="M65" s="8">
        <v>1.4059085320703328</v>
      </c>
      <c r="N65" s="8">
        <v>6</v>
      </c>
      <c r="O65" s="21">
        <v>0.8891047827693721</v>
      </c>
      <c r="P65" s="8">
        <f t="shared" si="13"/>
        <v>1.129092693982447</v>
      </c>
      <c r="Q65" s="8" t="str">
        <f t="shared" si="14"/>
        <v>ratio 6 / 5</v>
      </c>
      <c r="R65" s="12">
        <f>O65-O64</f>
        <v>0.10165412658507633</v>
      </c>
      <c r="S65" s="8" t="str">
        <f>"difference  "&amp;_xlfn.TEXTJOIN(" - ",,N65,N64)</f>
        <v>difference  6 - 5</v>
      </c>
      <c r="T65" s="12">
        <f>AVERAGE(O64:O65)</f>
        <v>0.83827771947683394</v>
      </c>
      <c r="U65" s="8" t="str">
        <f>"average  "&amp;_xlfn.TEXTJOIN(", ",,TEXT(O66,"0.###"),TEXT(O65,"0.###"))</f>
        <v>average  0.954, 0.889</v>
      </c>
      <c r="W65" s="8" t="b">
        <f>AND(T65&gt;$C$77,T65&lt;$C$78)</f>
        <v>0</v>
      </c>
    </row>
    <row r="66" spans="2:23">
      <c r="B66" s="8" t="s">
        <v>158</v>
      </c>
      <c r="C66" s="8">
        <f>ABS((C64-C63))/2</f>
        <v>0.125</v>
      </c>
      <c r="M66" s="8">
        <v>1.3103706971044482</v>
      </c>
      <c r="N66" s="8">
        <v>7</v>
      </c>
      <c r="O66" s="21">
        <v>0.95392853546111001</v>
      </c>
      <c r="P66" s="8">
        <f t="shared" si="13"/>
        <v>1.0729090135921051</v>
      </c>
      <c r="Q66" s="8" t="str">
        <f t="shared" si="14"/>
        <v>ratio 7 / 6</v>
      </c>
      <c r="R66" s="12"/>
    </row>
    <row r="67" spans="2:23">
      <c r="B67" s="8" t="s">
        <v>161</v>
      </c>
      <c r="C67" s="8">
        <f>C65+C66*((C61-C62)/(C61+C62))</f>
        <v>1.2</v>
      </c>
      <c r="M67" s="8">
        <v>1.2112118178531373</v>
      </c>
      <c r="N67" s="8">
        <v>8</v>
      </c>
      <c r="O67" s="21">
        <v>1.0320242764932848</v>
      </c>
      <c r="P67" s="8">
        <f t="shared" si="13"/>
        <v>1.0818674964937753</v>
      </c>
      <c r="Q67" s="8" t="str">
        <f t="shared" si="14"/>
        <v>ratio 8 / 7</v>
      </c>
      <c r="R67" s="12">
        <f>O67-O66</f>
        <v>7.8095741032174759E-2</v>
      </c>
      <c r="S67" s="8" t="str">
        <f>"difference  "&amp;_xlfn.TEXTJOIN(" - ",,N67,N66)</f>
        <v>difference  8 - 7</v>
      </c>
      <c r="T67" s="12">
        <f>AVERAGE(O66:O67)</f>
        <v>0.99297640597719738</v>
      </c>
      <c r="U67" s="8" t="str">
        <f>"average  "&amp;_xlfn.TEXTJOIN(", ",,TEXT(O68,"0.###"),TEXT(O67,"0.###"))</f>
        <v>average  1.211, 1.032</v>
      </c>
      <c r="W67" s="8" t="b">
        <f>AND(T67&gt;$C$77,T67&lt;$C$78)</f>
        <v>0</v>
      </c>
    </row>
    <row r="68" spans="2:23">
      <c r="B68" s="8" t="s">
        <v>162</v>
      </c>
      <c r="C68" s="8">
        <f>(C61+C62)/C59</f>
        <v>6.3569072883213435E-5</v>
      </c>
      <c r="M68" s="8">
        <v>0.42749398666917432</v>
      </c>
      <c r="N68" s="8">
        <v>9</v>
      </c>
      <c r="O68" s="21">
        <v>1.2112118178531373</v>
      </c>
      <c r="P68" s="8">
        <f t="shared" si="13"/>
        <v>1.1736272541656809</v>
      </c>
      <c r="Q68" s="8" t="str">
        <f t="shared" si="14"/>
        <v>ratio 9 / 8</v>
      </c>
      <c r="R68" s="12"/>
    </row>
    <row r="69" spans="2:23">
      <c r="B69" s="8" t="s">
        <v>164</v>
      </c>
      <c r="C69" s="8">
        <f>C64-C63</f>
        <v>0.25</v>
      </c>
      <c r="M69" s="8">
        <v>0.49606282874006236</v>
      </c>
      <c r="N69" s="8">
        <v>10</v>
      </c>
      <c r="O69" s="21">
        <v>1.3103706971044482</v>
      </c>
      <c r="P69" s="8">
        <f t="shared" si="13"/>
        <v>1.0818674964937753</v>
      </c>
      <c r="Q69" s="8" t="str">
        <f t="shared" si="14"/>
        <v>ratio 10 / 9</v>
      </c>
      <c r="R69" s="12">
        <f>O69-O68</f>
        <v>9.915887925131095E-2</v>
      </c>
      <c r="S69" s="8" t="str">
        <f>"difference  "&amp;_xlfn.TEXTJOIN(" - ",,N69,N68)</f>
        <v>difference  10 - 9</v>
      </c>
      <c r="T69" s="12">
        <f>AVERAGE(O68:O69)</f>
        <v>1.2607912574787927</v>
      </c>
      <c r="U69" s="8" t="str">
        <f>"average  "&amp;_xlfn.TEXTJOIN(", ",,TEXT(O70,"0.###"),TEXT(O69,"0.###"))</f>
        <v>average  1.406, 1.31</v>
      </c>
      <c r="W69" s="8" t="b">
        <f>AND(T69&gt;$C$77,T69&lt;$C$78)</f>
        <v>0</v>
      </c>
    </row>
    <row r="70" spans="2:23">
      <c r="B70" s="8" t="s">
        <v>166</v>
      </c>
      <c r="C70" s="8">
        <v>3</v>
      </c>
      <c r="M70" s="8">
        <v>0.60093732096142027</v>
      </c>
      <c r="N70" s="8">
        <v>11</v>
      </c>
      <c r="O70" s="21">
        <v>1.4059085320703328</v>
      </c>
      <c r="P70" s="8">
        <f t="shared" si="13"/>
        <v>1.0729090135921053</v>
      </c>
      <c r="Q70" s="8" t="str">
        <f t="shared" si="14"/>
        <v>ratio 11 / 10</v>
      </c>
      <c r="R70" s="12"/>
    </row>
    <row r="71" spans="2:23">
      <c r="B71" s="8" t="s">
        <v>167</v>
      </c>
      <c r="C71" s="8" cm="1">
        <f t="array" ref="C71">1-(C70*ROOT(C68,3))</f>
        <v>0.88026993620564875</v>
      </c>
      <c r="M71" s="8">
        <v>0.6786044041487268</v>
      </c>
      <c r="N71" s="8">
        <v>12</v>
      </c>
      <c r="O71" s="21">
        <v>1.5874010519681994</v>
      </c>
      <c r="P71" s="8">
        <f t="shared" si="13"/>
        <v>1.1290926939824468</v>
      </c>
      <c r="Q71" s="8" t="str">
        <f t="shared" si="14"/>
        <v>ratio 12 / 11</v>
      </c>
      <c r="R71" s="12">
        <f>O71-O70</f>
        <v>0.18149251989786652</v>
      </c>
      <c r="S71" s="8" t="str">
        <f>"difference  "&amp;_xlfn.TEXTJOIN(" - ",,N71,N70)</f>
        <v>difference  12 - 11</v>
      </c>
      <c r="T71" s="12">
        <f>AVERAGE(O70:O71)</f>
        <v>1.4966547920192661</v>
      </c>
      <c r="U71" s="8" t="str">
        <f>"average  "&amp;_xlfn.TEXTJOIN(", ",,TEXT(O72,"0.###"),TEXT(O71,"0.###"))</f>
        <v>average  1.842, 1.587</v>
      </c>
      <c r="W71" s="8" t="b">
        <f>AND(T71&gt;$C$77,T71&lt;$C$78)</f>
        <v>0</v>
      </c>
    </row>
    <row r="72" spans="2:23">
      <c r="B72" s="8" t="s">
        <v>165</v>
      </c>
      <c r="C72" s="8">
        <f>C69*C71</f>
        <v>0.22006748405141219</v>
      </c>
      <c r="M72" s="8">
        <v>0.78745065618429577</v>
      </c>
      <c r="N72" s="8">
        <v>13</v>
      </c>
      <c r="O72" s="21">
        <v>1.8420157493201932</v>
      </c>
      <c r="P72" s="8">
        <f t="shared" si="13"/>
        <v>1.1603972084031948</v>
      </c>
      <c r="Q72" s="8" t="str">
        <f t="shared" si="14"/>
        <v>ratio 13 / 12</v>
      </c>
    </row>
    <row r="73" spans="2:23">
      <c r="B73" s="8" t="s">
        <v>170</v>
      </c>
      <c r="C73" s="8">
        <f>C61/(C61+C62)</f>
        <v>0.8</v>
      </c>
      <c r="M73" s="8">
        <v>0.8891047827693721</v>
      </c>
      <c r="N73" s="8">
        <v>14</v>
      </c>
      <c r="O73" s="21">
        <v>2.0800838230519041</v>
      </c>
      <c r="P73" s="8">
        <f t="shared" si="13"/>
        <v>1.1292432346572343</v>
      </c>
      <c r="Q73" s="8" t="str">
        <f t="shared" si="14"/>
        <v>ratio 14 / 13</v>
      </c>
      <c r="R73" s="23">
        <f>O73-O72</f>
        <v>0.23806807373171091</v>
      </c>
      <c r="S73" s="8" t="str">
        <f>"difference  "&amp;_xlfn.TEXTJOIN(" - ",,N73,N72)</f>
        <v>difference  14 - 13</v>
      </c>
      <c r="T73" s="12">
        <f>AVERAGE(O72:O73)</f>
        <v>1.9610497861860487</v>
      </c>
      <c r="U73" s="8" t="str">
        <f>"average  "&amp;_xlfn.TEXTJOIN(", ",,TEXT(O74,"0.###"),TEXT(O73,"0.###"))</f>
        <v>average  2.52, 2.08</v>
      </c>
      <c r="W73" s="8" t="b">
        <f>AND(T73&gt;$C$77,T73&lt;$C$78)</f>
        <v>0</v>
      </c>
    </row>
    <row r="74" spans="2:23">
      <c r="B74" s="8" t="s">
        <v>171</v>
      </c>
      <c r="C74" s="8">
        <f>C62/(C61+C62)</f>
        <v>0.2</v>
      </c>
      <c r="M74" s="8">
        <v>0.95392853546111001</v>
      </c>
      <c r="N74" s="8">
        <v>15</v>
      </c>
      <c r="O74" s="21">
        <v>2.5198420997897459</v>
      </c>
      <c r="P74" s="8">
        <f t="shared" si="13"/>
        <v>1.2114137285547597</v>
      </c>
      <c r="Q74" s="8" t="str">
        <f t="shared" si="14"/>
        <v>ratio 15 / 14</v>
      </c>
    </row>
    <row r="75" spans="2:23">
      <c r="B75" s="8" t="s">
        <v>172</v>
      </c>
      <c r="C75" s="8">
        <f>C72*C73</f>
        <v>0.17605398724112975</v>
      </c>
      <c r="M75" s="8">
        <v>1.0320242764932848</v>
      </c>
      <c r="N75" s="8">
        <v>16</v>
      </c>
      <c r="O75" s="21">
        <v>2.924017738212866</v>
      </c>
      <c r="P75" s="8">
        <f t="shared" si="13"/>
        <v>1.1603972084031948</v>
      </c>
      <c r="Q75" s="8" t="str">
        <f t="shared" si="14"/>
        <v>ratio 16 / 15</v>
      </c>
      <c r="R75" s="23">
        <f>O75-O74</f>
        <v>0.4041756384231201</v>
      </c>
      <c r="S75" s="8" t="str">
        <f>"difference  "&amp;_xlfn.TEXTJOIN(" - ",,N75,N74)</f>
        <v>difference  16 - 15</v>
      </c>
      <c r="T75" s="12">
        <f>AVERAGE(O74:O75)</f>
        <v>2.721929919001306</v>
      </c>
      <c r="U75" s="8" t="str">
        <f>"average  "&amp;_xlfn.TEXTJOIN(", ",,TEXT(O75,"0.###"),TEXT(O74,"0.###"))</f>
        <v>average  2.924, 2.52</v>
      </c>
      <c r="W75" s="8" t="b">
        <f>AND(T75&gt;$C$77,T75&lt;$C$78)</f>
        <v>0</v>
      </c>
    </row>
    <row r="76" spans="2:23">
      <c r="B76" s="8" t="s">
        <v>173</v>
      </c>
      <c r="C76" s="8">
        <f>C72*C74</f>
        <v>4.4013496810282438E-2</v>
      </c>
    </row>
    <row r="77" spans="2:23">
      <c r="B77" s="8" t="s">
        <v>168</v>
      </c>
      <c r="C77" s="8">
        <f>C67-C75</f>
        <v>1.0239460127588702</v>
      </c>
      <c r="D77" s="8" t="s">
        <v>174</v>
      </c>
      <c r="E77" s="8">
        <f>C77-C63</f>
        <v>2.3946012758870205E-2</v>
      </c>
      <c r="H77" s="8">
        <f>C65-C77</f>
        <v>0.10105398724112979</v>
      </c>
    </row>
    <row r="78" spans="2:23">
      <c r="B78" s="8" t="s">
        <v>169</v>
      </c>
      <c r="C78" s="8">
        <f>C67+C76</f>
        <v>1.2440134968102825</v>
      </c>
      <c r="D78" s="8" t="s">
        <v>175</v>
      </c>
      <c r="E78" s="8">
        <f>C64-C78</f>
        <v>5.9865031897174958E-3</v>
      </c>
      <c r="H78" s="8">
        <f>C78-C65</f>
        <v>0.1190134968102825</v>
      </c>
    </row>
    <row r="79" spans="2:23">
      <c r="O79" s="8" t="s">
        <v>134</v>
      </c>
    </row>
    <row r="80" spans="2:23">
      <c r="O80" s="8">
        <v>5</v>
      </c>
      <c r="Q80" s="8" t="s">
        <v>136</v>
      </c>
      <c r="R80" s="8" t="s">
        <v>136</v>
      </c>
      <c r="S80" s="8" t="s">
        <v>137</v>
      </c>
      <c r="T80" s="8" t="s">
        <v>139</v>
      </c>
      <c r="U80" s="8" t="s">
        <v>141</v>
      </c>
    </row>
    <row r="81" spans="14:22">
      <c r="O81" s="8" t="s">
        <v>135</v>
      </c>
      <c r="Q81" s="8" t="s">
        <v>134</v>
      </c>
      <c r="R81" s="8" t="s">
        <v>135</v>
      </c>
      <c r="S81" s="8" t="s">
        <v>138</v>
      </c>
      <c r="T81" s="8" t="s">
        <v>140</v>
      </c>
      <c r="U81" s="8" t="s">
        <v>140</v>
      </c>
    </row>
    <row r="82" spans="14:22">
      <c r="O82" s="8">
        <v>50</v>
      </c>
    </row>
    <row r="83" spans="14:22">
      <c r="O83" s="8" t="s">
        <v>132</v>
      </c>
      <c r="P83" s="14">
        <f>N48</f>
        <v>1</v>
      </c>
    </row>
    <row r="84" spans="14:22">
      <c r="N84" s="12"/>
      <c r="O84" s="8" t="s">
        <v>133</v>
      </c>
      <c r="P84" s="12">
        <f>C77</f>
        <v>1.0239460127588702</v>
      </c>
    </row>
    <row r="85" spans="14:22">
      <c r="O85" s="8" t="s">
        <v>127</v>
      </c>
      <c r="P85" s="12">
        <f>T65</f>
        <v>0.83827771947683394</v>
      </c>
      <c r="Q85" s="8">
        <f>P85*SQRT($O$80/C59)</f>
        <v>2.9889996200842318E-3</v>
      </c>
      <c r="R85" s="20">
        <f>Q85*SQRT($O$82/333000)</f>
        <v>3.6625937101979391E-5</v>
      </c>
      <c r="S85" s="8">
        <f>AVERAGE(Q85:R85)</f>
        <v>1.5128127785931057E-3</v>
      </c>
      <c r="T85" s="12">
        <f>P85-(S85/2)</f>
        <v>0.83752131308753741</v>
      </c>
      <c r="U85" s="12">
        <f>P85+(S85/2)</f>
        <v>0.83903412586613046</v>
      </c>
      <c r="V85" s="12" cm="1">
        <f t="array" ref="V85">STATS_PCT_CHG(Q85,S85)</f>
        <v>-0.49399999999999999</v>
      </c>
    </row>
    <row r="86" spans="14:22">
      <c r="O86" s="8" t="s">
        <v>128</v>
      </c>
      <c r="P86" s="12">
        <f>T67</f>
        <v>0.99297640597719738</v>
      </c>
      <c r="Q86" s="8">
        <f t="shared" ref="Q86:Q89" si="15">P86*SQRT($O$80/333000)</f>
        <v>3.8477054174391088E-3</v>
      </c>
      <c r="R86" s="20">
        <f>Q86*SQRT($O$82/C59)</f>
        <v>4.3385014946798233E-5</v>
      </c>
      <c r="S86" s="8">
        <f t="shared" ref="S86:S89" si="16">AVERAGE(Q86:R86)</f>
        <v>1.9455452161929534E-3</v>
      </c>
      <c r="T86" s="12">
        <f t="shared" ref="T86:T89" si="17">P86-(S86/2)</f>
        <v>0.99200363336910091</v>
      </c>
      <c r="U86" s="12">
        <f t="shared" ref="U86:U89" si="18">P86+(S86/2)</f>
        <v>0.99394917858529386</v>
      </c>
      <c r="V86" s="12" cm="1">
        <f t="array" ref="V86">STATS_PCT_CHG(Q86,S86)</f>
        <v>-0.49399999999999999</v>
      </c>
    </row>
    <row r="87" spans="14:22">
      <c r="O87" s="8" t="s">
        <v>129</v>
      </c>
      <c r="P87" s="12">
        <f>T69</f>
        <v>1.2607912574787927</v>
      </c>
      <c r="Q87" s="8">
        <f t="shared" si="15"/>
        <v>4.8854668876920108E-3</v>
      </c>
      <c r="R87" s="20">
        <f t="shared" ref="R86:R89" si="19">Q87*SQRT($O$82/333000)</f>
        <v>5.9864444859771546E-5</v>
      </c>
      <c r="S87" s="8">
        <f t="shared" si="16"/>
        <v>2.472665666275891E-3</v>
      </c>
      <c r="T87" s="12">
        <f t="shared" si="17"/>
        <v>1.2595549246456548</v>
      </c>
      <c r="U87" s="12">
        <f t="shared" si="18"/>
        <v>1.2620275903119307</v>
      </c>
      <c r="V87" s="12" cm="1">
        <f t="array" ref="V87">STATS_PCT_CHG(Q87,S87)</f>
        <v>-0.49399999999999999</v>
      </c>
    </row>
    <row r="88" spans="14:22">
      <c r="O88" s="8" t="s">
        <v>156</v>
      </c>
      <c r="P88" s="12">
        <f>T71</f>
        <v>1.4966547920192661</v>
      </c>
      <c r="Q88" s="8">
        <f t="shared" si="15"/>
        <v>5.7994195195620541E-3</v>
      </c>
      <c r="R88" s="20">
        <f t="shared" si="19"/>
        <v>7.1063633840637793E-5</v>
      </c>
      <c r="S88" s="8">
        <f t="shared" si="16"/>
        <v>2.9352415767013459E-3</v>
      </c>
      <c r="T88" s="12">
        <f t="shared" si="17"/>
        <v>1.4951871712309155</v>
      </c>
      <c r="U88" s="12">
        <f t="shared" si="18"/>
        <v>1.4981224128076167</v>
      </c>
      <c r="V88" s="12" cm="1">
        <f t="array" ref="V88">STATS_PCT_CHG(Q88,S88)</f>
        <v>-0.49399999999999999</v>
      </c>
    </row>
    <row r="89" spans="14:22">
      <c r="O89" s="8" t="s">
        <v>157</v>
      </c>
      <c r="P89" s="12">
        <f>T73</f>
        <v>1.9610497861860487</v>
      </c>
      <c r="Q89" s="8">
        <f t="shared" si="15"/>
        <v>7.5989135701066603E-3</v>
      </c>
      <c r="R89" s="20">
        <f t="shared" si="19"/>
        <v>9.3113872812824593E-5</v>
      </c>
      <c r="S89" s="8">
        <f t="shared" si="16"/>
        <v>3.8460137214597423E-3</v>
      </c>
      <c r="T89" s="12">
        <f t="shared" si="17"/>
        <v>1.9591267793253189</v>
      </c>
      <c r="U89" s="12">
        <f t="shared" si="18"/>
        <v>1.9629727930467786</v>
      </c>
      <c r="V89" s="12" cm="1">
        <f t="array" ref="V89">STATS_PCT_CHG(Q89,S89)</f>
        <v>-0.49399999999999999</v>
      </c>
    </row>
    <row r="90" spans="14:22">
      <c r="O90" s="8" t="s">
        <v>130</v>
      </c>
      <c r="P90" s="12">
        <f>C78</f>
        <v>1.2440134968102825</v>
      </c>
    </row>
    <row r="91" spans="14:22">
      <c r="O91" s="8" t="s">
        <v>131</v>
      </c>
      <c r="P91" s="14">
        <f>S48</f>
        <v>1.25</v>
      </c>
    </row>
    <row r="95" spans="14:22">
      <c r="O95" s="8" t="s">
        <v>144</v>
      </c>
      <c r="P95" s="8" t="s">
        <v>155</v>
      </c>
      <c r="Q95" s="8" t="s">
        <v>153</v>
      </c>
      <c r="R95" s="8" t="s">
        <v>154</v>
      </c>
    </row>
    <row r="96" spans="14:22">
      <c r="N96" s="8" t="s">
        <v>142</v>
      </c>
      <c r="O96" s="14">
        <f>P83</f>
        <v>1</v>
      </c>
    </row>
    <row r="97" spans="14:18">
      <c r="N97" s="8" t="s">
        <v>151</v>
      </c>
      <c r="O97" s="14">
        <f>Q97-P97</f>
        <v>2.3946012758870205E-2</v>
      </c>
      <c r="P97" s="12">
        <f>O96</f>
        <v>1</v>
      </c>
      <c r="Q97" s="12">
        <f>P84</f>
        <v>1.0239460127588702</v>
      </c>
      <c r="R97" s="12">
        <f>Q97-P97</f>
        <v>2.3946012758870205E-2</v>
      </c>
    </row>
    <row r="98" spans="14:18">
      <c r="N98" s="8" t="s">
        <v>143</v>
      </c>
      <c r="O98" s="21">
        <f t="shared" ref="O98:O109" si="20">AVERAGE(P98:Q98)</f>
        <v>0.93073366292320381</v>
      </c>
      <c r="P98" s="12">
        <f>Q97</f>
        <v>1.0239460127588702</v>
      </c>
      <c r="Q98" s="12">
        <f>T85</f>
        <v>0.83752131308753741</v>
      </c>
      <c r="R98" s="12">
        <f t="shared" ref="R98:R109" si="21">Q98-P98</f>
        <v>-0.18642469967133279</v>
      </c>
    </row>
    <row r="99" spans="14:18">
      <c r="N99" s="8" t="s">
        <v>145</v>
      </c>
      <c r="O99" s="21">
        <f t="shared" si="20"/>
        <v>0.83827771947683394</v>
      </c>
      <c r="P99" s="12" cm="1">
        <f t="array" ref="P99:Q99">T85:U85</f>
        <v>0.83752131308753741</v>
      </c>
      <c r="Q99" s="12">
        <v>0.83903412586613046</v>
      </c>
      <c r="R99" s="12">
        <f t="shared" si="21"/>
        <v>1.5128127785930534E-3</v>
      </c>
    </row>
    <row r="100" spans="14:18">
      <c r="N100" s="8" t="s">
        <v>146</v>
      </c>
      <c r="O100" s="21">
        <f t="shared" si="20"/>
        <v>0.91551887961761569</v>
      </c>
      <c r="P100" s="12">
        <f>U85</f>
        <v>0.83903412586613046</v>
      </c>
      <c r="Q100" s="12">
        <f>T86</f>
        <v>0.99200363336910091</v>
      </c>
      <c r="R100" s="12">
        <f t="shared" si="21"/>
        <v>0.15296950750297045</v>
      </c>
    </row>
    <row r="101" spans="14:18">
      <c r="N101" s="8" t="s">
        <v>147</v>
      </c>
      <c r="O101" s="21">
        <f t="shared" si="20"/>
        <v>0.99297640597719738</v>
      </c>
      <c r="P101" s="12" cm="1">
        <f t="array" ref="P101:Q101">T86:U86</f>
        <v>0.99200363336910091</v>
      </c>
      <c r="Q101" s="12">
        <v>0.99394917858529386</v>
      </c>
      <c r="R101" s="12">
        <f t="shared" si="21"/>
        <v>1.9455452161929454E-3</v>
      </c>
    </row>
    <row r="102" spans="14:18">
      <c r="N102" s="8" t="s">
        <v>148</v>
      </c>
      <c r="O102" s="21">
        <f t="shared" si="20"/>
        <v>1.1267520516154743</v>
      </c>
      <c r="P102" s="12">
        <f>Q101</f>
        <v>0.99394917858529386</v>
      </c>
      <c r="Q102" s="12">
        <f>T87</f>
        <v>1.2595549246456548</v>
      </c>
      <c r="R102" s="12">
        <f t="shared" si="21"/>
        <v>0.26560574606036091</v>
      </c>
    </row>
    <row r="103" spans="14:18">
      <c r="N103" s="8" t="s">
        <v>149</v>
      </c>
      <c r="O103" s="21">
        <f t="shared" si="20"/>
        <v>1.2607912574787927</v>
      </c>
      <c r="P103" s="12" cm="1">
        <f t="array" ref="P103:Q103">T87:U87</f>
        <v>1.2595549246456548</v>
      </c>
      <c r="Q103" s="12">
        <v>1.2620275903119307</v>
      </c>
      <c r="R103" s="12">
        <f t="shared" si="21"/>
        <v>2.4726656662759083E-3</v>
      </c>
    </row>
    <row r="104" spans="14:18">
      <c r="N104" s="8" t="s">
        <v>150</v>
      </c>
      <c r="O104" s="21">
        <f t="shared" si="20"/>
        <v>1.378607380771423</v>
      </c>
      <c r="P104" s="12">
        <f>Q103</f>
        <v>1.2620275903119307</v>
      </c>
      <c r="Q104" s="12">
        <f>T88</f>
        <v>1.4951871712309155</v>
      </c>
      <c r="R104" s="12">
        <f t="shared" si="21"/>
        <v>0.23315958091898481</v>
      </c>
    </row>
    <row r="105" spans="14:18">
      <c r="N105" s="8" t="s">
        <v>176</v>
      </c>
      <c r="O105" s="21">
        <f t="shared" si="20"/>
        <v>1.4966547920192661</v>
      </c>
      <c r="P105" s="12" cm="1">
        <f t="array" ref="P105:Q105">T88:U88</f>
        <v>1.4951871712309155</v>
      </c>
      <c r="Q105" s="12">
        <v>1.4981224128076167</v>
      </c>
      <c r="R105" s="12">
        <f t="shared" si="21"/>
        <v>2.9352415767012197E-3</v>
      </c>
    </row>
    <row r="106" spans="14:18">
      <c r="N106" s="8" t="s">
        <v>177</v>
      </c>
      <c r="O106" s="21">
        <f t="shared" si="20"/>
        <v>1.7286245960664677</v>
      </c>
      <c r="P106" s="12">
        <f>Q105</f>
        <v>1.4981224128076167</v>
      </c>
      <c r="Q106" s="12">
        <f>T89</f>
        <v>1.9591267793253189</v>
      </c>
      <c r="R106" s="12">
        <f t="shared" si="21"/>
        <v>0.46100436651770216</v>
      </c>
    </row>
    <row r="107" spans="14:18">
      <c r="N107" s="8" t="s">
        <v>178</v>
      </c>
      <c r="O107" s="21">
        <f t="shared" si="20"/>
        <v>1.9610497861860487</v>
      </c>
      <c r="P107" s="12" cm="1">
        <f t="array" ref="P107:Q107">T89:U89</f>
        <v>1.9591267793253189</v>
      </c>
      <c r="Q107" s="12">
        <v>1.9629727930467786</v>
      </c>
      <c r="R107" s="12">
        <f t="shared" si="21"/>
        <v>3.8460137214597623E-3</v>
      </c>
    </row>
    <row r="108" spans="14:18">
      <c r="N108" s="8" t="s">
        <v>177</v>
      </c>
      <c r="O108" s="21">
        <f t="shared" si="20"/>
        <v>1.6034931449285306</v>
      </c>
      <c r="P108" s="12">
        <f>Q107</f>
        <v>1.9629727930467786</v>
      </c>
      <c r="Q108" s="12">
        <f>P90</f>
        <v>1.2440134968102825</v>
      </c>
      <c r="R108" s="12">
        <f t="shared" si="21"/>
        <v>-0.71895929623649613</v>
      </c>
    </row>
    <row r="109" spans="14:18">
      <c r="N109" s="8" t="s">
        <v>152</v>
      </c>
      <c r="O109" s="21">
        <f t="shared" si="20"/>
        <v>2.8550067484051413</v>
      </c>
      <c r="P109" s="12">
        <f>Q108</f>
        <v>1.2440134968102825</v>
      </c>
      <c r="Q109" s="12">
        <f>O110</f>
        <v>4.4660000000000002</v>
      </c>
      <c r="R109" s="12">
        <f t="shared" si="21"/>
        <v>3.2219865031897177</v>
      </c>
    </row>
    <row r="110" spans="14:18">
      <c r="N110" s="8" t="s">
        <v>142</v>
      </c>
      <c r="O110" s="8">
        <v>4.4660000000000002</v>
      </c>
      <c r="P110" s="12"/>
      <c r="Q110" s="12"/>
      <c r="R110" s="12"/>
    </row>
  </sheetData>
  <sortState xmlns:xlrd2="http://schemas.microsoft.com/office/spreadsheetml/2017/richdata2" ref="O60:O75">
    <sortCondition ref="O60:O7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40405-2AFF-A247-8FDC-D0E30FAF64B6}">
  <dimension ref="B2:R40"/>
  <sheetViews>
    <sheetView tabSelected="1" topLeftCell="I16" zoomScale="130" zoomScaleNormal="130" workbookViewId="0">
      <selection activeCell="O33" sqref="O33:O40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1" width="12.6640625" style="8" bestFit="1" customWidth="1"/>
    <col min="12" max="12" width="15.33203125" style="8" customWidth="1"/>
    <col min="13" max="13" width="15.33203125" style="8" bestFit="1" customWidth="1"/>
    <col min="14" max="14" width="10.83203125" style="8" customWidth="1"/>
    <col min="15" max="16384" width="10.83203125" style="8"/>
  </cols>
  <sheetData>
    <row r="2" spans="2:18">
      <c r="B2" s="8" t="s">
        <v>163</v>
      </c>
      <c r="C2" s="14">
        <f>333000*C3</f>
        <v>333000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8">
      <c r="B3" s="8" t="s">
        <v>180</v>
      </c>
      <c r="C3" s="14">
        <v>1</v>
      </c>
      <c r="F3" s="12" cm="1">
        <f t="array" ref="F3:F20">_xlfn.VSTACK(E27:E35,I27:I35)</f>
        <v>4.4562030330364077</v>
      </c>
      <c r="G3" s="8" cm="1">
        <f t="array" ref="G3:G20">_xlfn.SEQUENCE(COUNTA(_xlfn.ANCHORARRAY(H3)))</f>
        <v>1</v>
      </c>
      <c r="H3" s="21" cm="1">
        <f t="array" ref="H3:H20">_xlfn._xlws.SORT(_xlfn.ANCHORARRAY(F3))</f>
        <v>1.7797429653011063</v>
      </c>
      <c r="L3" s="8" t="s">
        <v>84</v>
      </c>
      <c r="M3" s="8" t="s">
        <v>188</v>
      </c>
      <c r="N3" s="8" t="s">
        <v>189</v>
      </c>
      <c r="O3" s="8" t="s">
        <v>191</v>
      </c>
      <c r="P3" s="8" t="s">
        <v>190</v>
      </c>
    </row>
    <row r="4" spans="2:18">
      <c r="B4" s="8" t="s">
        <v>159</v>
      </c>
      <c r="C4" s="14">
        <v>0.107</v>
      </c>
      <c r="F4" s="12">
        <v>3.8402393600795737</v>
      </c>
      <c r="G4" s="8">
        <v>2</v>
      </c>
      <c r="H4" s="21">
        <v>1.8458868104081809</v>
      </c>
      <c r="I4" s="12">
        <f>AVERAGE(H3:H4)</f>
        <v>1.8128148878546435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1.8128148878546435</v>
      </c>
      <c r="M4" s="12">
        <f>L4*SQRT($C$4/$C$2*$C$3)</f>
        <v>1.0275979549490279E-3</v>
      </c>
      <c r="N4" s="12">
        <f>L4*SQRT($C$5/$C$2*$C$3)</f>
        <v>5.600261272438959E-2</v>
      </c>
      <c r="O4" s="12">
        <f>L4*SQRT(($C$4+$C$5)/$C$2*$C$3)</f>
        <v>5.6012039683580338E-2</v>
      </c>
      <c r="P4" s="12">
        <f>O4/N4</f>
        <v>1.0001683307033753</v>
      </c>
    </row>
    <row r="5" spans="2:18">
      <c r="B5" s="8" t="s">
        <v>160</v>
      </c>
      <c r="C5" s="14">
        <v>317.8</v>
      </c>
      <c r="F5" s="12">
        <v>3.1700477463311016</v>
      </c>
      <c r="G5" s="8">
        <v>3</v>
      </c>
      <c r="H5" s="21">
        <v>1.9970049423871796</v>
      </c>
      <c r="K5" s="8" t="str">
        <v>Gap 2</v>
      </c>
      <c r="L5" s="14">
        <v>2.0311068554989036</v>
      </c>
      <c r="M5" s="12">
        <f t="shared" ref="M5:M12" si="0">L5*SQRT($C$4/$C$2*$C$3)</f>
        <v>1.1513372186961975E-3</v>
      </c>
      <c r="N5" s="12">
        <f t="shared" ref="N5:N12" si="1">L5*SQRT($C$5/$C$2*$C$3)</f>
        <v>6.2746224886188376E-2</v>
      </c>
      <c r="O5" s="12">
        <f t="shared" ref="O5:O12" si="2">L5*SQRT(($C$4+$C$5)/$C$2*$C$3)</f>
        <v>6.2756787002357609E-2</v>
      </c>
      <c r="P5" s="12">
        <f t="shared" ref="P5:P12" si="3">O5/N5</f>
        <v>1.0001683307033753</v>
      </c>
    </row>
    <row r="6" spans="2:18">
      <c r="B6" s="24" t="s">
        <v>195</v>
      </c>
      <c r="C6" s="25">
        <v>1.524</v>
      </c>
      <c r="D6" s="25">
        <f>SQRT(C6^3/C3)</f>
        <v>1.881384018216377</v>
      </c>
      <c r="F6" s="12">
        <v>2.8072320019639747</v>
      </c>
      <c r="G6" s="8">
        <v>4</v>
      </c>
      <c r="H6" s="21">
        <v>2.0652087686106273</v>
      </c>
      <c r="I6" s="12">
        <f>AVERAGE(H5:H6)</f>
        <v>2.0311068554989036</v>
      </c>
      <c r="J6" s="8" t="b">
        <f>AND(I6&gt;$C$20,I6&lt;$C$21)</f>
        <v>1</v>
      </c>
      <c r="K6" s="8" t="str">
        <v>Gap 3</v>
      </c>
      <c r="L6" s="14">
        <v>2.2809019030373618</v>
      </c>
      <c r="M6" s="12">
        <f t="shared" si="0"/>
        <v>1.2929340699393437E-3</v>
      </c>
      <c r="N6" s="12">
        <f t="shared" si="1"/>
        <v>7.0463049919726198E-2</v>
      </c>
      <c r="O6" s="12">
        <f t="shared" si="2"/>
        <v>7.0474911014481154E-2</v>
      </c>
      <c r="P6" s="12">
        <f t="shared" si="3"/>
        <v>1.0001683307033753</v>
      </c>
    </row>
    <row r="7" spans="2:18">
      <c r="B7" s="24" t="s">
        <v>196</v>
      </c>
      <c r="C7" s="25">
        <v>5.2039999999999997</v>
      </c>
      <c r="D7" s="25">
        <f>SQRT(C7^3/C3)</f>
        <v>11.871509156969049</v>
      </c>
      <c r="F7" s="12">
        <v>2.6810371006552711</v>
      </c>
      <c r="G7" s="8">
        <v>5</v>
      </c>
      <c r="H7" s="21">
        <v>2.1426046028751875</v>
      </c>
      <c r="K7" s="8" t="str">
        <v>Gap 4</v>
      </c>
      <c r="L7" s="14">
        <v>2.5914296776409276</v>
      </c>
      <c r="M7" s="12">
        <f t="shared" si="0"/>
        <v>1.4689573960248493E-3</v>
      </c>
      <c r="N7" s="12">
        <f t="shared" si="1"/>
        <v>8.0056068389400437E-2</v>
      </c>
      <c r="O7" s="12">
        <f t="shared" si="2"/>
        <v>8.0069544283701888E-2</v>
      </c>
      <c r="P7" s="12">
        <f t="shared" si="3"/>
        <v>1.0001683307033753</v>
      </c>
    </row>
    <row r="8" spans="2:18">
      <c r="B8" s="8" t="s">
        <v>126</v>
      </c>
      <c r="C8" s="14">
        <f>AVERAGE(C6:C7)</f>
        <v>3.3639999999999999</v>
      </c>
      <c r="F8" s="12">
        <v>2.4191992031995362</v>
      </c>
      <c r="G8" s="8">
        <v>6</v>
      </c>
      <c r="H8" s="21">
        <v>2.4191992031995362</v>
      </c>
      <c r="I8" s="12">
        <f>AVERAGE(H7:H8)</f>
        <v>2.2809019030373618</v>
      </c>
      <c r="J8" s="8" t="b">
        <f>AND(I8&gt;$C$20,I8&lt;$C$21)</f>
        <v>1</v>
      </c>
      <c r="K8" s="8" t="str">
        <v>Gap 5</v>
      </c>
      <c r="L8" s="14">
        <v>2.8161989286579767</v>
      </c>
      <c r="M8" s="12">
        <f t="shared" si="0"/>
        <v>1.5963683215572881E-3</v>
      </c>
      <c r="N8" s="12">
        <f t="shared" si="1"/>
        <v>8.6999780845312388E-2</v>
      </c>
      <c r="O8" s="12">
        <f t="shared" si="2"/>
        <v>8.701442557961557E-2</v>
      </c>
      <c r="P8" s="12">
        <f t="shared" si="3"/>
        <v>1.0001683307033753</v>
      </c>
    </row>
    <row r="9" spans="2:18">
      <c r="B9" s="8" t="s">
        <v>158</v>
      </c>
      <c r="C9" s="14">
        <f>ABS((C7-C6))/2</f>
        <v>1.8399999999999999</v>
      </c>
      <c r="F9" s="12">
        <v>2.1426046028751875</v>
      </c>
      <c r="G9" s="8">
        <v>7</v>
      </c>
      <c r="H9" s="21">
        <v>2.501822254626584</v>
      </c>
      <c r="K9" s="8" t="str">
        <v>Gap 6</v>
      </c>
      <c r="L9" s="14">
        <v>3.0640962810150381</v>
      </c>
      <c r="M9" s="12">
        <f t="shared" si="0"/>
        <v>1.7368894602714912E-3</v>
      </c>
      <c r="N9" s="12">
        <f t="shared" si="1"/>
        <v>9.4657981090944546E-2</v>
      </c>
      <c r="O9" s="12">
        <f t="shared" si="2"/>
        <v>9.4673914935481662E-2</v>
      </c>
      <c r="P9" s="12">
        <f t="shared" si="3"/>
        <v>1.0001683307033753</v>
      </c>
    </row>
    <row r="10" spans="2:18">
      <c r="B10" s="8" t="s">
        <v>161</v>
      </c>
      <c r="C10" s="14">
        <f>C8+C9*((C4-C5)/(C4+C5))</f>
        <v>1.5252386012261452</v>
      </c>
      <c r="F10" s="12">
        <v>1.9970049423871796</v>
      </c>
      <c r="G10" s="8">
        <v>8</v>
      </c>
      <c r="H10" s="21">
        <v>2.6810371006552711</v>
      </c>
      <c r="I10" s="12">
        <f>AVERAGE(H9:H10)</f>
        <v>2.5914296776409276</v>
      </c>
      <c r="J10" s="8" t="b">
        <f>AND(I10&gt;$C$20,I10&lt;$C$21)</f>
        <v>1</v>
      </c>
      <c r="K10" s="8" t="str">
        <v>Gap 7</v>
      </c>
      <c r="L10" s="14">
        <v>3.4899178017259542</v>
      </c>
      <c r="M10" s="12">
        <f t="shared" si="0"/>
        <v>1.9782672902901228E-3</v>
      </c>
      <c r="N10" s="12">
        <f t="shared" si="1"/>
        <v>0.10781272616384369</v>
      </c>
      <c r="O10" s="12">
        <f t="shared" si="2"/>
        <v>0.10783087435587164</v>
      </c>
      <c r="P10" s="12">
        <f t="shared" si="3"/>
        <v>1.0001683307033753</v>
      </c>
    </row>
    <row r="11" spans="2:18">
      <c r="B11" s="8" t="s">
        <v>162</v>
      </c>
      <c r="C11" s="14">
        <f>(C4+C5)/C2</f>
        <v>9.5467567567567577E-4</v>
      </c>
      <c r="F11" s="12">
        <v>1.8458868104081809</v>
      </c>
      <c r="G11" s="8">
        <v>9</v>
      </c>
      <c r="H11" s="21">
        <v>2.8072320019639747</v>
      </c>
      <c r="K11" s="8" t="str">
        <v>Gap 8</v>
      </c>
      <c r="L11" s="14">
        <v>3.9058173194556325</v>
      </c>
      <c r="M11" s="12">
        <f t="shared" si="0"/>
        <v>2.2140208119246895E-3</v>
      </c>
      <c r="N11" s="12">
        <f t="shared" si="1"/>
        <v>0.12066095450735624</v>
      </c>
      <c r="O11" s="12">
        <f t="shared" si="2"/>
        <v>0.12068126545069839</v>
      </c>
      <c r="P11" s="12">
        <f t="shared" si="3"/>
        <v>1.0001683307033753</v>
      </c>
    </row>
    <row r="12" spans="2:18">
      <c r="B12" s="8" t="s">
        <v>164</v>
      </c>
      <c r="C12" s="14">
        <f>C7-C6</f>
        <v>3.6799999999999997</v>
      </c>
      <c r="F12" s="12">
        <v>1.7797429653011063</v>
      </c>
      <c r="G12" s="8">
        <v>10</v>
      </c>
      <c r="H12" s="21">
        <v>2.8251658553519787</v>
      </c>
      <c r="I12" s="12">
        <f>AVERAGE(H11:H12)</f>
        <v>2.8161989286579767</v>
      </c>
      <c r="J12" s="8" t="b">
        <f>AND(I12&gt;$C$20,I12&lt;$C$21)</f>
        <v>1</v>
      </c>
      <c r="K12" s="8" t="str">
        <v>Gap 9</v>
      </c>
      <c r="L12" s="14">
        <v>4.3763632504666248</v>
      </c>
      <c r="M12" s="12">
        <f t="shared" si="0"/>
        <v>2.4807507685551278E-3</v>
      </c>
      <c r="N12" s="12">
        <f t="shared" si="1"/>
        <v>0.13519735407026567</v>
      </c>
      <c r="O12" s="12">
        <f t="shared" si="2"/>
        <v>0.1352201119359708</v>
      </c>
      <c r="P12" s="12">
        <f t="shared" si="3"/>
        <v>1.0001683307033753</v>
      </c>
    </row>
    <row r="13" spans="2:18">
      <c r="B13" s="8" t="s">
        <v>166</v>
      </c>
      <c r="C13" s="14">
        <v>2</v>
      </c>
      <c r="F13" s="12">
        <v>2.0652087686106273</v>
      </c>
      <c r="G13" s="8">
        <v>11</v>
      </c>
      <c r="H13" s="21">
        <v>2.9581448156989745</v>
      </c>
    </row>
    <row r="14" spans="2:18">
      <c r="B14" s="8" t="s">
        <v>167</v>
      </c>
      <c r="C14" s="14" cm="1">
        <f t="array" ref="C14">1-(C13*ROOT(C11,3))</f>
        <v>0.80306845803805826</v>
      </c>
      <c r="F14" s="12">
        <v>2.501822254626584</v>
      </c>
      <c r="G14" s="8">
        <v>12</v>
      </c>
      <c r="H14" s="21">
        <v>3.1700477463311016</v>
      </c>
      <c r="I14" s="12">
        <f>AVERAGE(H13:H14)</f>
        <v>3.0640962810150381</v>
      </c>
      <c r="J14" s="8" t="b">
        <f>AND(I14&gt;$C$20,I14&lt;$C$21)</f>
        <v>1</v>
      </c>
    </row>
    <row r="15" spans="2:18">
      <c r="B15" s="8" t="s">
        <v>165</v>
      </c>
      <c r="C15" s="14">
        <f>C12*C14</f>
        <v>2.9552919255800543</v>
      </c>
      <c r="F15" s="12">
        <v>2.8251658553519787</v>
      </c>
      <c r="G15" s="8">
        <v>13</v>
      </c>
      <c r="H15" s="21">
        <v>3.2783145718264595</v>
      </c>
      <c r="L15" s="8" t="s">
        <v>84</v>
      </c>
      <c r="M15" s="8" t="s">
        <v>188</v>
      </c>
      <c r="N15" s="8" t="s">
        <v>189</v>
      </c>
      <c r="O15" s="8" t="s">
        <v>191</v>
      </c>
      <c r="P15" s="8" t="s">
        <v>190</v>
      </c>
    </row>
    <row r="16" spans="2:18">
      <c r="B16" s="8" t="s">
        <v>170</v>
      </c>
      <c r="C16" s="14">
        <f>C4/(C4+C5)</f>
        <v>3.3657642014803068E-4</v>
      </c>
      <c r="F16" s="12">
        <v>2.9581448156989745</v>
      </c>
      <c r="G16" s="8">
        <v>14</v>
      </c>
      <c r="H16" s="21">
        <v>3.701521031625449</v>
      </c>
      <c r="I16" s="12">
        <f>AVERAGE(H15:H16)</f>
        <v>3.4899178017259542</v>
      </c>
      <c r="J16" s="8" t="b">
        <f>AND(I16&gt;$C$20,I16&lt;$C$21)</f>
        <v>1</v>
      </c>
      <c r="K16" s="8" t="str" cm="1">
        <f t="array" ref="K16:K24">"Gap "&amp;_xlfn.SEQUENCE(COUNTA(_xlfn.ANCHORARRAY(L16)))</f>
        <v>Gap 1</v>
      </c>
      <c r="L16" s="14" cm="1">
        <f t="array" ref="L16:L24">_xlfn._xlws.FILTER(I27:I35,J27:J35=TRUE,"")</f>
        <v>1.7797429653011063</v>
      </c>
      <c r="M16" s="12">
        <f>L16*SQRT($C$4/$C$2*$C$3)</f>
        <v>1.0088510656720616E-3</v>
      </c>
      <c r="N16" s="12">
        <f>L16*SQRT($C$5/$C$2*$C$3)</f>
        <v>5.4980934182788134E-2</v>
      </c>
      <c r="O16" s="12">
        <f>L16*SQRT(($C$4+$C$5)/$C$2*$C$3)</f>
        <v>5.4990189162111347E-2</v>
      </c>
      <c r="P16" s="12">
        <f>O16/N16</f>
        <v>1.0001683307033751</v>
      </c>
      <c r="Q16" s="8">
        <f>N4/N16</f>
        <v>1.0185824151005658</v>
      </c>
      <c r="R16" s="8">
        <f>ABS(L16-L4)/AVERAGE(L16+L4)</f>
        <v>9.2056757066518446E-3</v>
      </c>
    </row>
    <row r="17" spans="2:18">
      <c r="B17" s="8" t="s">
        <v>171</v>
      </c>
      <c r="C17" s="14">
        <f>C5/(C4+C5)</f>
        <v>0.99966342357985183</v>
      </c>
      <c r="F17" s="12">
        <v>3.2783145718264595</v>
      </c>
      <c r="G17" s="8">
        <v>15</v>
      </c>
      <c r="H17" s="21">
        <v>3.8402393600795737</v>
      </c>
      <c r="K17" s="8" t="str">
        <v>Gap 2</v>
      </c>
      <c r="L17" s="14">
        <v>2.0652087686106273</v>
      </c>
      <c r="M17" s="12">
        <f t="shared" ref="M17:M24" si="4">L17*SQRT($C$4/$C$2*$C$3)</f>
        <v>1.1706679603004481E-3</v>
      </c>
      <c r="N17" s="12">
        <f t="shared" ref="N17:N24" si="5">L17*SQRT($C$5/$C$2*$C$3)</f>
        <v>6.3799722541107121E-2</v>
      </c>
      <c r="O17" s="12">
        <f t="shared" ref="O17:O24" si="6">L17*SQRT(($C$4+$C$5)/$C$2*$C$3)</f>
        <v>6.3810461993277612E-2</v>
      </c>
      <c r="P17" s="12">
        <f t="shared" ref="P17:P24" si="7">O17/N17</f>
        <v>1.0001683307033753</v>
      </c>
      <c r="Q17" s="8">
        <f t="shared" ref="Q17:Q24" si="8">N5/N17</f>
        <v>0.9834874257605124</v>
      </c>
      <c r="R17" s="8">
        <f t="shared" ref="R17:R24" si="9">ABS(L17-L5)/AVERAGE(L17+L5)</f>
        <v>8.3250208824269742E-3</v>
      </c>
    </row>
    <row r="18" spans="2:18">
      <c r="B18" s="8" t="s">
        <v>172</v>
      </c>
      <c r="C18" s="14">
        <f>C15*C16</f>
        <v>9.9468157680411497E-4</v>
      </c>
      <c r="F18" s="12">
        <v>3.701521031625449</v>
      </c>
      <c r="G18" s="8">
        <v>16</v>
      </c>
      <c r="H18" s="21">
        <v>3.9713952788316917</v>
      </c>
      <c r="I18" s="12">
        <f>AVERAGE(H17:H18)</f>
        <v>3.9058173194556325</v>
      </c>
      <c r="J18" s="8" t="b">
        <f>AND(I18&gt;$C$20,I18&lt;$C$21)</f>
        <v>1</v>
      </c>
      <c r="K18" s="8" t="str">
        <v>Gap 3</v>
      </c>
      <c r="L18" s="14">
        <v>2.501822254626584</v>
      </c>
      <c r="M18" s="12">
        <f t="shared" si="4"/>
        <v>1.4181632386871612E-3</v>
      </c>
      <c r="N18" s="12">
        <f t="shared" si="5"/>
        <v>7.7287859764281722E-2</v>
      </c>
      <c r="O18" s="12">
        <f t="shared" si="6"/>
        <v>7.7300869684078219E-2</v>
      </c>
      <c r="P18" s="12">
        <f t="shared" si="7"/>
        <v>1.0001683307033753</v>
      </c>
      <c r="Q18" s="8">
        <f t="shared" si="8"/>
        <v>0.91169622414994622</v>
      </c>
      <c r="R18" s="8">
        <f t="shared" si="9"/>
        <v>4.619132199694486E-2</v>
      </c>
    </row>
    <row r="19" spans="2:18">
      <c r="B19" s="8" t="s">
        <v>173</v>
      </c>
      <c r="C19" s="14">
        <f>C15*C17</f>
        <v>2.9542972440032496</v>
      </c>
      <c r="F19" s="12">
        <v>3.9713952788316917</v>
      </c>
      <c r="G19" s="8">
        <v>17</v>
      </c>
      <c r="H19" s="12">
        <v>4.2965234678968427</v>
      </c>
      <c r="K19" s="8" t="str">
        <v>Gap 4</v>
      </c>
      <c r="L19" s="14">
        <v>2.8251658553519787</v>
      </c>
      <c r="M19" s="12">
        <f t="shared" si="4"/>
        <v>1.6014512429270696E-3</v>
      </c>
      <c r="N19" s="12">
        <f t="shared" si="5"/>
        <v>8.7276792759952218E-2</v>
      </c>
      <c r="O19" s="12">
        <f t="shared" si="6"/>
        <v>8.7291484123865823E-2</v>
      </c>
      <c r="P19" s="12">
        <f t="shared" si="7"/>
        <v>1.0001683307033751</v>
      </c>
      <c r="Q19" s="8">
        <f t="shared" si="8"/>
        <v>0.91726638729253263</v>
      </c>
      <c r="R19" s="8">
        <f t="shared" si="9"/>
        <v>4.3151861032884188E-2</v>
      </c>
    </row>
    <row r="20" spans="2:18">
      <c r="B20" s="8" t="s">
        <v>168</v>
      </c>
      <c r="C20" s="14">
        <f>C10-C18</f>
        <v>1.5242439196493411</v>
      </c>
      <c r="D20" s="8" t="s">
        <v>174</v>
      </c>
      <c r="E20" s="14">
        <f>C20-C6</f>
        <v>2.4391964934111776E-4</v>
      </c>
      <c r="F20" s="12">
        <v>4.2965234678968427</v>
      </c>
      <c r="G20" s="8">
        <v>18</v>
      </c>
      <c r="H20" s="12">
        <v>4.4562030330364077</v>
      </c>
      <c r="I20" s="12">
        <f>AVERAGE(H19:H20)</f>
        <v>4.3763632504666248</v>
      </c>
      <c r="J20" s="8" t="b">
        <f>AND(I20&gt;$C$20,I20&lt;$C$21)</f>
        <v>1</v>
      </c>
      <c r="K20" s="8" t="str">
        <v>Gap 5</v>
      </c>
      <c r="L20" s="14">
        <v>2.9581448156989745</v>
      </c>
      <c r="M20" s="12">
        <f t="shared" si="4"/>
        <v>1.6768306479724112E-3</v>
      </c>
      <c r="N20" s="12">
        <f t="shared" si="5"/>
        <v>9.1384862076184514E-2</v>
      </c>
      <c r="O20" s="12">
        <f t="shared" si="6"/>
        <v>9.1400244954295648E-2</v>
      </c>
      <c r="P20" s="12">
        <f t="shared" si="7"/>
        <v>1.0001683307033753</v>
      </c>
      <c r="Q20" s="8">
        <f t="shared" si="8"/>
        <v>0.95201523391022436</v>
      </c>
      <c r="R20" s="8">
        <f t="shared" si="9"/>
        <v>2.4582167831576726E-2</v>
      </c>
    </row>
    <row r="21" spans="2:18">
      <c r="B21" s="8" t="s">
        <v>169</v>
      </c>
      <c r="C21" s="14">
        <f>C10+C19</f>
        <v>4.4795358452293943</v>
      </c>
      <c r="D21" s="8" t="s">
        <v>175</v>
      </c>
      <c r="E21" s="14">
        <f>C7-C21</f>
        <v>0.72446415477060544</v>
      </c>
      <c r="K21" s="8" t="str">
        <v>Gap 6</v>
      </c>
      <c r="L21" s="14">
        <v>3.2783145718264595</v>
      </c>
      <c r="M21" s="12">
        <f t="shared" si="4"/>
        <v>1.8583195516863975E-3</v>
      </c>
      <c r="N21" s="12">
        <f t="shared" si="5"/>
        <v>0.10127574667703269</v>
      </c>
      <c r="O21" s="12">
        <f t="shared" si="6"/>
        <v>0.10129279449470568</v>
      </c>
      <c r="P21" s="12">
        <f t="shared" si="7"/>
        <v>1.0001683307033751</v>
      </c>
      <c r="Q21" s="8">
        <f t="shared" si="8"/>
        <v>0.93465596845025356</v>
      </c>
      <c r="R21" s="8">
        <f t="shared" si="9"/>
        <v>3.3775530438153234E-2</v>
      </c>
    </row>
    <row r="22" spans="2:18">
      <c r="K22" s="8" t="str">
        <v>Gap 7</v>
      </c>
      <c r="L22" s="14">
        <v>3.701521031625449</v>
      </c>
      <c r="M22" s="12">
        <f t="shared" si="4"/>
        <v>2.0982150288938474E-3</v>
      </c>
      <c r="N22" s="12">
        <f t="shared" si="5"/>
        <v>0.11434970565065468</v>
      </c>
      <c r="O22" s="12">
        <f t="shared" si="6"/>
        <v>0.11436895421703761</v>
      </c>
      <c r="P22" s="12">
        <f t="shared" si="7"/>
        <v>1.0001683307033753</v>
      </c>
      <c r="Q22" s="8">
        <f t="shared" si="8"/>
        <v>0.94283343844555345</v>
      </c>
      <c r="R22" s="8">
        <f t="shared" si="9"/>
        <v>2.942432450626601E-2</v>
      </c>
    </row>
    <row r="23" spans="2:18">
      <c r="B23" s="8" t="s">
        <v>179</v>
      </c>
      <c r="C23" s="12">
        <v>1.181</v>
      </c>
      <c r="K23" s="8" t="str">
        <v>Gap 8</v>
      </c>
      <c r="L23" s="14">
        <v>3.9713952788316917</v>
      </c>
      <c r="M23" s="12">
        <f t="shared" si="4"/>
        <v>2.2511938169546284E-3</v>
      </c>
      <c r="N23" s="12">
        <f t="shared" si="5"/>
        <v>0.12268682989419148</v>
      </c>
      <c r="O23" s="12">
        <f t="shared" si="6"/>
        <v>0.12270748185456244</v>
      </c>
      <c r="P23" s="12">
        <f t="shared" si="7"/>
        <v>1.0001683307033751</v>
      </c>
      <c r="Q23" s="8">
        <f t="shared" si="8"/>
        <v>0.98348742576051229</v>
      </c>
      <c r="R23" s="8">
        <f t="shared" si="9"/>
        <v>8.3250208824270297E-3</v>
      </c>
    </row>
    <row r="24" spans="2:18">
      <c r="E24" s="8" t="s">
        <v>121</v>
      </c>
      <c r="I24" s="8" t="s">
        <v>123</v>
      </c>
      <c r="K24" s="8" t="str">
        <v>Gap 9</v>
      </c>
      <c r="L24" s="14">
        <v>4.2965234678968427</v>
      </c>
      <c r="M24" s="12">
        <f t="shared" si="4"/>
        <v>2.4354934188709708E-3</v>
      </c>
      <c r="N24" s="12">
        <f t="shared" si="5"/>
        <v>0.13273089351038667</v>
      </c>
      <c r="O24" s="12">
        <f t="shared" si="6"/>
        <v>0.13275323619505089</v>
      </c>
      <c r="P24" s="12">
        <f t="shared" si="7"/>
        <v>1.0001683307033753</v>
      </c>
      <c r="Q24" s="8">
        <f t="shared" si="8"/>
        <v>1.0185824151005658</v>
      </c>
      <c r="R24" s="8">
        <f t="shared" si="9"/>
        <v>9.2056757066518516E-3</v>
      </c>
    </row>
    <row r="25" spans="2:18">
      <c r="B25" s="24" t="s">
        <v>113</v>
      </c>
      <c r="C25" s="25" cm="1">
        <f t="array" ref="C25:C26">TRANSPOSE(C6:D6)</f>
        <v>1.524</v>
      </c>
      <c r="E25" s="8" t="s">
        <v>122</v>
      </c>
      <c r="F25" s="24" t="s">
        <v>119</v>
      </c>
      <c r="G25" s="25" cm="1">
        <f t="array" ref="G25:G26">TRANSPOSE(C7:D7)</f>
        <v>5.2039999999999997</v>
      </c>
      <c r="I25" s="8" t="s">
        <v>122</v>
      </c>
    </row>
    <row r="26" spans="2:18">
      <c r="B26" s="24" t="s">
        <v>115</v>
      </c>
      <c r="C26" s="25">
        <v>1.881384018216377</v>
      </c>
      <c r="D26" s="8" t="s">
        <v>114</v>
      </c>
      <c r="F26" s="24" t="s">
        <v>120</v>
      </c>
      <c r="G26" s="25">
        <v>11.871509156969049</v>
      </c>
      <c r="H26" s="8" t="s">
        <v>114</v>
      </c>
    </row>
    <row r="27" spans="2:18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4.4562030330364077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1.7797429653011063</v>
      </c>
      <c r="J27" s="8" t="b">
        <f>AND(I27&gt;$C$20,I27&lt;$C$21)</f>
        <v>1</v>
      </c>
      <c r="K27" s="8" t="str" cm="1">
        <f t="array" ref="K27:L30">B4:C7</f>
        <v>m_i</v>
      </c>
      <c r="L27" s="8">
        <v>0.107</v>
      </c>
    </row>
    <row r="28" spans="2:18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3.8402393600795737</v>
      </c>
      <c r="F28" s="8" t="s">
        <v>109</v>
      </c>
      <c r="G28" s="8" t="s">
        <v>94</v>
      </c>
      <c r="H28" s="14">
        <f t="shared" ref="H28:H35" si="10">D28</f>
        <v>4</v>
      </c>
      <c r="I28" s="14" cm="1">
        <f t="array" ref="I28">ROOT(($G$26/H28)^2*$C$3,3)</f>
        <v>2.0652087686106273</v>
      </c>
      <c r="J28" s="8" t="b">
        <f t="shared" ref="J28:J35" si="11">AND(I28&gt;$C$20,I28&lt;$C$21)</f>
        <v>1</v>
      </c>
      <c r="K28" s="8" t="str">
        <v>m_o</v>
      </c>
      <c r="L28" s="8">
        <v>317.8</v>
      </c>
    </row>
    <row r="29" spans="2:18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3.1700477463311016</v>
      </c>
      <c r="F29" s="8" t="s">
        <v>110</v>
      </c>
      <c r="G29" s="8" t="s">
        <v>92</v>
      </c>
      <c r="H29" s="14">
        <f t="shared" si="10"/>
        <v>3</v>
      </c>
      <c r="I29" s="14" cm="1">
        <f t="array" ref="I29">ROOT(($G$26/H29)^2*$C$3,3)</f>
        <v>2.501822254626584</v>
      </c>
      <c r="J29" s="8" t="b">
        <f t="shared" si="11"/>
        <v>1</v>
      </c>
      <c r="K29" s="8" t="str">
        <v>in orbit</v>
      </c>
      <c r="L29" s="8">
        <v>1.524</v>
      </c>
    </row>
    <row r="30" spans="2:18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2.8072320019639747</v>
      </c>
      <c r="F30" s="8" t="s">
        <v>111</v>
      </c>
      <c r="G30" s="8" t="s">
        <v>98</v>
      </c>
      <c r="H30" s="14">
        <f t="shared" si="10"/>
        <v>2.5</v>
      </c>
      <c r="I30" s="14" cm="1">
        <f t="array" ref="I30">ROOT(($G$26/H30)^2*$C$3,3)</f>
        <v>2.8251658553519787</v>
      </c>
      <c r="J30" s="8" t="b">
        <f t="shared" si="11"/>
        <v>1</v>
      </c>
      <c r="K30" s="8" t="str">
        <v>out orbit</v>
      </c>
      <c r="L30" s="8">
        <v>5.2039999999999997</v>
      </c>
    </row>
    <row r="31" spans="2:18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2.6810371006552711</v>
      </c>
      <c r="F31" s="8" t="s">
        <v>112</v>
      </c>
      <c r="G31" s="15" t="s">
        <v>187</v>
      </c>
      <c r="H31" s="14">
        <f t="shared" si="10"/>
        <v>2.3333333333333335</v>
      </c>
      <c r="I31" s="14" cm="1">
        <f t="array" ref="I31">ROOT(($G$26/H31)^2*$C$3,3)</f>
        <v>2.9581448156989745</v>
      </c>
      <c r="J31" s="8" t="b">
        <f t="shared" si="11"/>
        <v>1</v>
      </c>
      <c r="L31" s="8" t="s">
        <v>192</v>
      </c>
      <c r="M31" s="8" t="s">
        <v>193</v>
      </c>
      <c r="N31" s="8" t="s">
        <v>194</v>
      </c>
      <c r="O31" s="8" t="s">
        <v>197</v>
      </c>
    </row>
    <row r="32" spans="2:18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2.4191992031995362</v>
      </c>
      <c r="F32" s="8" t="s">
        <v>116</v>
      </c>
      <c r="G32" s="8" t="s">
        <v>93</v>
      </c>
      <c r="H32" s="14">
        <f t="shared" si="10"/>
        <v>2</v>
      </c>
      <c r="I32" s="14" cm="1">
        <f t="array" ref="I32">ROOT(($G$26/H32)^2*$C$3,3)</f>
        <v>3.2783145718264595</v>
      </c>
      <c r="J32" s="8" t="b">
        <f t="shared" si="11"/>
        <v>1</v>
      </c>
      <c r="K32" s="8" t="str" cm="1">
        <f t="array" ref="K32:K40">"Gap "&amp;_xlfn.SEQUENCE(COUNTA(M32:M40))</f>
        <v>Gap 1</v>
      </c>
      <c r="L32" s="12" cm="1">
        <f t="array" ref="L32:L40">_xlfn.ANCHORARRAY(L4)</f>
        <v>1.8128148878546435</v>
      </c>
      <c r="M32" s="12" cm="1">
        <f t="array" ref="M32:M40">_xlfn.ANCHORARRAY(L16)</f>
        <v>1.7797429653011063</v>
      </c>
      <c r="N32" s="8" cm="1">
        <f t="array" ref="N32">_xlfn.LET(_xlpm.diff,STATS_PCT_DIF(L32,M32,0),IFERROR(_xlpm.diff,""))</f>
        <v>1.7999999999999999E-2</v>
      </c>
      <c r="P32" s="8" t="e" cm="1">
        <f t="array" ref="P32">STATS_PCT_ERR(M32,O32)</f>
        <v>#DIV/0!</v>
      </c>
    </row>
    <row r="33" spans="2:16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2.1426046028751875</v>
      </c>
      <c r="F33" s="8" t="s">
        <v>117</v>
      </c>
      <c r="G33" s="8" t="s">
        <v>103</v>
      </c>
      <c r="H33" s="14">
        <f t="shared" si="10"/>
        <v>1.667</v>
      </c>
      <c r="I33" s="14" cm="1">
        <f t="array" ref="I33">ROOT(($G$26/H33)^2*$C$3,3)</f>
        <v>3.701521031625449</v>
      </c>
      <c r="J33" s="8" t="b">
        <f t="shared" si="11"/>
        <v>1</v>
      </c>
      <c r="K33" s="8" t="str">
        <v>Gap 2</v>
      </c>
      <c r="L33" s="12">
        <v>2.0311068554989036</v>
      </c>
      <c r="M33" s="12">
        <v>2.0652087686106273</v>
      </c>
      <c r="N33" s="8" cm="1">
        <f t="array" ref="N33">_xlfn.LET(_xlpm.diff,STATS_PCT_DIF(L33,M33,0),IFERROR(_xlpm.diff,""))</f>
        <v>1.7000000000000001E-2</v>
      </c>
      <c r="O33" s="14">
        <v>2.06</v>
      </c>
      <c r="P33" s="8" cm="1">
        <f t="array" ref="P33">STATS_PCT_ERR(M33,O33)*100</f>
        <v>0.3</v>
      </c>
    </row>
    <row r="34" spans="2:16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1.9970049423871796</v>
      </c>
      <c r="F34" s="8" t="s">
        <v>118</v>
      </c>
      <c r="G34" s="8" t="s">
        <v>96</v>
      </c>
      <c r="H34" s="14">
        <f t="shared" si="10"/>
        <v>1.5</v>
      </c>
      <c r="I34" s="14" cm="1">
        <f t="array" ref="I34">ROOT(($G$26/H34)^2*$C$3,3)</f>
        <v>3.9713952788316917</v>
      </c>
      <c r="J34" s="8" t="b">
        <f t="shared" si="11"/>
        <v>1</v>
      </c>
      <c r="K34" s="8" t="str">
        <v>Gap 3</v>
      </c>
      <c r="L34" s="12">
        <v>2.2809019030373618</v>
      </c>
      <c r="M34" s="12">
        <v>2.501822254626584</v>
      </c>
      <c r="N34" s="8" cm="1">
        <f t="array" ref="N34">_xlfn.LET(_xlpm.diff,STATS_PCT_DIF(L34,M34,0),IFERROR(_xlpm.diff,""))</f>
        <v>9.1999999999999998E-2</v>
      </c>
      <c r="O34" s="14">
        <v>2.5</v>
      </c>
      <c r="P34" s="8" cm="1">
        <f t="array" ref="P34">STATS_PCT_ERR(M34,O34)*100</f>
        <v>0.1</v>
      </c>
    </row>
    <row r="35" spans="2:16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1.8458868104081809</v>
      </c>
      <c r="F35" s="8" t="s">
        <v>186</v>
      </c>
      <c r="G35" s="8" t="s">
        <v>97</v>
      </c>
      <c r="H35" s="14">
        <f t="shared" si="10"/>
        <v>1.333</v>
      </c>
      <c r="I35" s="14" cm="1">
        <f t="array" ref="I35">ROOT(($G$26/H35)^2*$C$3,3)</f>
        <v>4.2965234678968427</v>
      </c>
      <c r="J35" s="8" t="b">
        <f t="shared" si="11"/>
        <v>1</v>
      </c>
      <c r="K35" s="8" t="str">
        <v>Gap 4</v>
      </c>
      <c r="L35" s="12">
        <v>2.5914296776409276</v>
      </c>
      <c r="M35" s="12">
        <v>2.8251658553519787</v>
      </c>
      <c r="N35" s="8" cm="1">
        <f t="array" ref="N35">_xlfn.LET(_xlpm.diff,STATS_PCT_DIF(L35,M35,0),IFERROR(_xlpm.diff,""))</f>
        <v>8.5999999999999993E-2</v>
      </c>
      <c r="O35" s="14">
        <v>2.82</v>
      </c>
      <c r="P35" s="8" cm="1">
        <f t="array" ref="P35">STATS_PCT_ERR(M35,O35)*100</f>
        <v>0.2</v>
      </c>
    </row>
    <row r="36" spans="2:16">
      <c r="K36" s="8" t="str">
        <v>Gap 5</v>
      </c>
      <c r="L36" s="12">
        <v>2.8161989286579767</v>
      </c>
      <c r="M36" s="12">
        <v>2.9581448156989745</v>
      </c>
      <c r="N36" s="8" cm="1">
        <f t="array" ref="N36">_xlfn.LET(_xlpm.diff,STATS_PCT_DIF(L36,M36,0),IFERROR(_xlpm.diff,""))</f>
        <v>4.9000000000000002E-2</v>
      </c>
      <c r="O36" s="14">
        <v>2.95</v>
      </c>
      <c r="P36" s="8" cm="1">
        <f t="array" ref="P36">STATS_PCT_ERR(M36,O36)*100</f>
        <v>0.3</v>
      </c>
    </row>
    <row r="37" spans="2:16">
      <c r="K37" s="8" t="str">
        <v>Gap 6</v>
      </c>
      <c r="L37" s="12">
        <v>3.0640962810150381</v>
      </c>
      <c r="M37" s="12">
        <v>3.2783145718264595</v>
      </c>
      <c r="N37" s="8" cm="1">
        <f t="array" ref="N37">_xlfn.LET(_xlpm.diff,STATS_PCT_DIF(L37,M37,0),IFERROR(_xlpm.diff,""))</f>
        <v>6.8000000000000005E-2</v>
      </c>
      <c r="O37" s="14">
        <v>3.27</v>
      </c>
      <c r="P37" s="8" cm="1">
        <f t="array" ref="P37">STATS_PCT_ERR(M37,O37)*100</f>
        <v>0.3</v>
      </c>
    </row>
    <row r="38" spans="2:16">
      <c r="K38" s="8" t="str">
        <v>Gap 7</v>
      </c>
      <c r="L38" s="12">
        <v>3.4899178017259542</v>
      </c>
      <c r="M38" s="12">
        <v>3.701521031625449</v>
      </c>
      <c r="N38" s="8" cm="1">
        <f t="array" ref="N38">_xlfn.LET(_xlpm.diff,STATS_PCT_DIF(L38,M38,0),IFERROR(_xlpm.diff,""))</f>
        <v>5.8999999999999997E-2</v>
      </c>
      <c r="O38" s="14">
        <v>3.7</v>
      </c>
      <c r="P38" s="8" cm="1">
        <f t="array" ref="P38">STATS_PCT_ERR(M38,O38)*100</f>
        <v>0</v>
      </c>
    </row>
    <row r="39" spans="2:16">
      <c r="K39" s="8" t="str">
        <v>Gap 8</v>
      </c>
      <c r="L39" s="12">
        <v>3.9058173194556325</v>
      </c>
      <c r="M39" s="12">
        <v>3.9713952788316917</v>
      </c>
      <c r="N39" s="8" cm="1">
        <f t="array" ref="N39">_xlfn.LET(_xlpm.diff,STATS_PCT_DIF(L39,M39,0),IFERROR(_xlpm.diff,""))</f>
        <v>1.7000000000000001E-2</v>
      </c>
      <c r="O39" s="14">
        <v>3.97</v>
      </c>
      <c r="P39" s="8" cm="1">
        <f t="array" ref="P39">STATS_PCT_ERR(M39,O39)*100</f>
        <v>0</v>
      </c>
    </row>
    <row r="40" spans="2:16">
      <c r="K40" s="8" t="str">
        <v>Gap 9</v>
      </c>
      <c r="L40" s="12">
        <v>4.3763632504666248</v>
      </c>
      <c r="M40" s="12">
        <v>4.2965234678968427</v>
      </c>
      <c r="N40" s="8" cm="1">
        <f t="array" ref="N40">_xlfn.LET(_xlpm.diff,STATS_PCT_DIF(L40,M40,0),IFERROR(_xlpm.diff,""))</f>
        <v>1.7999999999999999E-2</v>
      </c>
      <c r="O40" s="14">
        <v>4.29</v>
      </c>
      <c r="P40" s="8" cm="1">
        <f t="array" ref="P40">STATS_PCT_ERR(M40,O40)*100</f>
        <v>0.2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31136-665F-4B49-86A6-C8849FFB4B75}">
  <dimension ref="A1:J28"/>
  <sheetViews>
    <sheetView zoomScale="93" zoomScaleNormal="93" workbookViewId="0">
      <selection activeCell="E19" sqref="E19"/>
    </sheetView>
  </sheetViews>
  <sheetFormatPr baseColWidth="10" defaultColWidth="11" defaultRowHeight="16"/>
  <cols>
    <col min="1" max="1" width="15.5" bestFit="1" customWidth="1"/>
    <col min="7" max="7" width="37.33203125" bestFit="1" customWidth="1"/>
    <col min="9" max="9" width="17.6640625" bestFit="1" customWidth="1"/>
    <col min="10" max="10" width="26" bestFit="1" customWidth="1"/>
  </cols>
  <sheetData>
    <row r="1" spans="1:10">
      <c r="A1" t="s">
        <v>46</v>
      </c>
      <c r="B1" t="s">
        <v>47</v>
      </c>
      <c r="C1">
        <v>1.2024999999999999</v>
      </c>
    </row>
    <row r="2" spans="1:10">
      <c r="A2" t="s">
        <v>48</v>
      </c>
      <c r="B2" t="s">
        <v>49</v>
      </c>
      <c r="C2">
        <v>492</v>
      </c>
      <c r="G2" t="str" cm="1">
        <f t="array" ref="G2">LIST_DIVISORS(C2,2)</f>
        <v>{1, 2, 3, 4, 6, 12, 41, 82, 123, 164, 246, 492}</v>
      </c>
    </row>
    <row r="5" spans="1:10">
      <c r="B5">
        <v>492</v>
      </c>
    </row>
    <row r="6" spans="1:10">
      <c r="B6">
        <v>491.99</v>
      </c>
      <c r="G6" t="s">
        <v>50</v>
      </c>
      <c r="H6" t="s">
        <v>51</v>
      </c>
      <c r="I6" t="s">
        <v>52</v>
      </c>
      <c r="J6" t="s">
        <v>53</v>
      </c>
    </row>
    <row r="7" spans="1:10">
      <c r="B7">
        <f>B5-B6</f>
        <v>9.9999999999909051E-3</v>
      </c>
      <c r="C7" cm="1">
        <f t="array" ref="C7">RECIP(B7)</f>
        <v>100.00000000009095</v>
      </c>
      <c r="G7" cm="1">
        <f t="array" ref="G7:G18">LIST_DIVISORS(C2,3)</f>
        <v>1</v>
      </c>
      <c r="H7">
        <f>$C$2/G7</f>
        <v>492</v>
      </c>
      <c r="I7">
        <f t="shared" ref="I7:I18" si="0">FLOOR(H7,10)</f>
        <v>490</v>
      </c>
      <c r="J7">
        <f t="shared" ref="J7:J18" si="1">MOD($H$7,I7*G7)</f>
        <v>2</v>
      </c>
    </row>
    <row r="8" spans="1:10">
      <c r="A8" t="s">
        <v>75</v>
      </c>
      <c r="B8" t="s">
        <v>72</v>
      </c>
      <c r="C8" t="s">
        <v>74</v>
      </c>
      <c r="G8">
        <v>2</v>
      </c>
      <c r="H8">
        <f t="shared" ref="H8:H18" si="2">$C$2/G8</f>
        <v>246</v>
      </c>
      <c r="I8">
        <f t="shared" si="0"/>
        <v>240</v>
      </c>
      <c r="J8">
        <f t="shared" si="1"/>
        <v>12</v>
      </c>
    </row>
    <row r="9" spans="1:10">
      <c r="A9" t="s">
        <v>69</v>
      </c>
      <c r="B9">
        <v>9.75</v>
      </c>
      <c r="D9">
        <f>$B$5/B9</f>
        <v>50.46153846153846</v>
      </c>
      <c r="E9">
        <f>49*B9</f>
        <v>477.75</v>
      </c>
      <c r="F9">
        <f>120-(480-E9)</f>
        <v>117.75</v>
      </c>
      <c r="G9">
        <v>3</v>
      </c>
      <c r="H9">
        <f t="shared" si="2"/>
        <v>164</v>
      </c>
      <c r="I9">
        <f t="shared" si="0"/>
        <v>160</v>
      </c>
      <c r="J9">
        <f t="shared" si="1"/>
        <v>12</v>
      </c>
    </row>
    <row r="10" spans="1:10">
      <c r="A10" t="s">
        <v>70</v>
      </c>
      <c r="B10">
        <v>20.260000000000002</v>
      </c>
      <c r="D10">
        <f t="shared" ref="D10:D11" si="3">$B$5/B10</f>
        <v>24.284304047384005</v>
      </c>
      <c r="F10">
        <f>B9-(120-F9)</f>
        <v>7.5</v>
      </c>
      <c r="G10">
        <v>4</v>
      </c>
      <c r="H10">
        <f t="shared" si="2"/>
        <v>123</v>
      </c>
      <c r="I10">
        <f t="shared" si="0"/>
        <v>120</v>
      </c>
      <c r="J10">
        <f t="shared" si="1"/>
        <v>12</v>
      </c>
    </row>
    <row r="11" spans="1:10">
      <c r="A11" t="s">
        <v>71</v>
      </c>
      <c r="B11">
        <v>18.78</v>
      </c>
      <c r="D11">
        <f t="shared" si="3"/>
        <v>26.19808306709265</v>
      </c>
      <c r="F11">
        <f>9.75-F10</f>
        <v>2.25</v>
      </c>
      <c r="G11">
        <v>6</v>
      </c>
      <c r="H11">
        <f t="shared" si="2"/>
        <v>82</v>
      </c>
      <c r="I11">
        <f t="shared" si="0"/>
        <v>80</v>
      </c>
      <c r="J11">
        <f t="shared" si="1"/>
        <v>12</v>
      </c>
    </row>
    <row r="12" spans="1:10">
      <c r="A12" t="s">
        <v>73</v>
      </c>
      <c r="B12">
        <v>5947.9</v>
      </c>
      <c r="C12">
        <f>B12/B6</f>
        <v>12.08947336327974</v>
      </c>
      <c r="D12" cm="1">
        <f t="array" ref="D12">RECIP($B$5/B12)</f>
        <v>12.089227642276423</v>
      </c>
      <c r="G12">
        <v>12</v>
      </c>
      <c r="H12">
        <f t="shared" si="2"/>
        <v>41</v>
      </c>
      <c r="I12">
        <f t="shared" si="0"/>
        <v>40</v>
      </c>
      <c r="J12">
        <f t="shared" si="1"/>
        <v>12</v>
      </c>
    </row>
    <row r="13" spans="1:10">
      <c r="G13">
        <v>41</v>
      </c>
      <c r="H13">
        <f t="shared" si="2"/>
        <v>12</v>
      </c>
      <c r="I13">
        <f t="shared" si="0"/>
        <v>10</v>
      </c>
      <c r="J13">
        <f t="shared" si="1"/>
        <v>82</v>
      </c>
    </row>
    <row r="14" spans="1:10">
      <c r="C14" t="s">
        <v>59</v>
      </c>
      <c r="F14">
        <f>18*26</f>
        <v>468</v>
      </c>
      <c r="G14">
        <v>82</v>
      </c>
      <c r="H14">
        <f t="shared" si="2"/>
        <v>6</v>
      </c>
      <c r="I14">
        <f t="shared" si="0"/>
        <v>0</v>
      </c>
      <c r="J14" t="e">
        <f t="shared" si="1"/>
        <v>#DIV/0!</v>
      </c>
    </row>
    <row r="15" spans="1:10">
      <c r="C15">
        <v>107</v>
      </c>
      <c r="F15">
        <f>492-F14</f>
        <v>24</v>
      </c>
      <c r="G15">
        <v>123</v>
      </c>
      <c r="H15">
        <f t="shared" si="2"/>
        <v>4</v>
      </c>
      <c r="I15">
        <f t="shared" si="0"/>
        <v>0</v>
      </c>
      <c r="J15" t="e">
        <f t="shared" si="1"/>
        <v>#DIV/0!</v>
      </c>
    </row>
    <row r="16" spans="1:10">
      <c r="C16">
        <v>123</v>
      </c>
      <c r="G16">
        <v>164</v>
      </c>
      <c r="H16">
        <f t="shared" si="2"/>
        <v>3</v>
      </c>
      <c r="I16">
        <f t="shared" si="0"/>
        <v>0</v>
      </c>
      <c r="J16" t="e">
        <f t="shared" si="1"/>
        <v>#DIV/0!</v>
      </c>
    </row>
    <row r="17" spans="1:10">
      <c r="C17">
        <v>139</v>
      </c>
      <c r="E17">
        <f>13 * 36</f>
        <v>468</v>
      </c>
      <c r="G17">
        <v>246</v>
      </c>
      <c r="H17">
        <f t="shared" si="2"/>
        <v>2</v>
      </c>
      <c r="I17">
        <f t="shared" si="0"/>
        <v>0</v>
      </c>
      <c r="J17" t="e">
        <f t="shared" si="1"/>
        <v>#DIV/0!</v>
      </c>
    </row>
    <row r="18" spans="1:10">
      <c r="C18">
        <v>123</v>
      </c>
      <c r="E18">
        <f>492-E17</f>
        <v>24</v>
      </c>
      <c r="G18">
        <v>492</v>
      </c>
      <c r="H18">
        <f t="shared" si="2"/>
        <v>1</v>
      </c>
      <c r="I18">
        <f t="shared" si="0"/>
        <v>0</v>
      </c>
      <c r="J18" t="e">
        <f t="shared" si="1"/>
        <v>#DIV/0!</v>
      </c>
    </row>
    <row r="19" spans="1:10">
      <c r="C19">
        <f>SUM(C15:C18)</f>
        <v>492</v>
      </c>
      <c r="G19">
        <f>120-C24</f>
        <v>13</v>
      </c>
    </row>
    <row r="23" spans="1:10">
      <c r="A23" t="s">
        <v>60</v>
      </c>
      <c r="B23" t="s">
        <v>61</v>
      </c>
      <c r="C23" t="s">
        <v>58</v>
      </c>
      <c r="D23" t="s">
        <v>62</v>
      </c>
      <c r="G23" t="s">
        <v>63</v>
      </c>
      <c r="H23" t="s">
        <v>64</v>
      </c>
    </row>
    <row r="24" spans="1:10">
      <c r="A24" t="s">
        <v>54</v>
      </c>
      <c r="B24">
        <v>1</v>
      </c>
      <c r="C24">
        <v>107</v>
      </c>
      <c r="D24">
        <v>107</v>
      </c>
      <c r="G24">
        <f>120*B24-D24</f>
        <v>13</v>
      </c>
      <c r="H24" t="s">
        <v>65</v>
      </c>
      <c r="I24">
        <f>120*B24-G24</f>
        <v>107</v>
      </c>
      <c r="J24">
        <f>120-(120*B24-I24)</f>
        <v>107</v>
      </c>
    </row>
    <row r="25" spans="1:10">
      <c r="A25" t="s">
        <v>55</v>
      </c>
      <c r="B25">
        <v>2</v>
      </c>
      <c r="C25">
        <v>125</v>
      </c>
      <c r="D25">
        <f>D24+C25</f>
        <v>232</v>
      </c>
      <c r="G25">
        <f t="shared" ref="G25:G27" si="4">120*B25-D25</f>
        <v>8</v>
      </c>
      <c r="H25" t="s">
        <v>66</v>
      </c>
      <c r="I25">
        <f t="shared" ref="I25:I27" si="5">120*B25-G25</f>
        <v>232</v>
      </c>
      <c r="J25">
        <f t="shared" ref="J25:J27" si="6">120-(120*B25-I25)</f>
        <v>112</v>
      </c>
    </row>
    <row r="26" spans="1:10">
      <c r="A26" t="s">
        <v>56</v>
      </c>
      <c r="B26">
        <v>3</v>
      </c>
      <c r="C26">
        <v>139</v>
      </c>
      <c r="D26">
        <f>D25+C26-12</f>
        <v>359</v>
      </c>
      <c r="G26">
        <f t="shared" si="4"/>
        <v>1</v>
      </c>
      <c r="H26" t="s">
        <v>67</v>
      </c>
      <c r="I26">
        <f t="shared" si="5"/>
        <v>359</v>
      </c>
      <c r="J26">
        <f t="shared" si="6"/>
        <v>119</v>
      </c>
    </row>
    <row r="27" spans="1:10">
      <c r="A27" t="s">
        <v>57</v>
      </c>
      <c r="B27">
        <v>4</v>
      </c>
      <c r="C27">
        <v>121</v>
      </c>
      <c r="D27">
        <f t="shared" ref="D27" si="7">D26+C27</f>
        <v>480</v>
      </c>
      <c r="G27">
        <f t="shared" si="4"/>
        <v>0</v>
      </c>
      <c r="H27" t="s">
        <v>68</v>
      </c>
      <c r="I27">
        <f t="shared" si="5"/>
        <v>480</v>
      </c>
      <c r="J27">
        <f t="shared" si="6"/>
        <v>120</v>
      </c>
    </row>
    <row r="28" spans="1:10">
      <c r="C28">
        <f>SUM(C24:C27)</f>
        <v>492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1C824-7318-E24B-9ACF-772B2BDEB8E1}">
  <dimension ref="B2:L35"/>
  <sheetViews>
    <sheetView topLeftCell="E1" zoomScale="130" zoomScaleNormal="130" workbookViewId="0">
      <selection activeCell="C8" sqref="C8"/>
    </sheetView>
  </sheetViews>
  <sheetFormatPr baseColWidth="10" defaultRowHeight="16"/>
  <cols>
    <col min="1" max="1" width="10.83203125" style="8"/>
    <col min="2" max="2" width="16.6640625" style="8" bestFit="1" customWidth="1"/>
    <col min="3" max="3" width="14" style="8" bestFit="1" customWidth="1"/>
    <col min="4" max="4" width="16.6640625" style="8" bestFit="1" customWidth="1"/>
    <col min="5" max="5" width="20.5" style="8" bestFit="1" customWidth="1"/>
    <col min="6" max="6" width="16.6640625" style="8" bestFit="1" customWidth="1"/>
    <col min="7" max="7" width="12.6640625" style="8" bestFit="1" customWidth="1"/>
    <col min="8" max="8" width="10.1640625" style="8" bestFit="1" customWidth="1"/>
    <col min="9" max="9" width="23.1640625" style="8" bestFit="1" customWidth="1"/>
    <col min="10" max="10" width="29.83203125" style="8" bestFit="1" customWidth="1"/>
    <col min="11" max="16384" width="10.83203125" style="8"/>
  </cols>
  <sheetData>
    <row r="2" spans="2:12">
      <c r="B2" s="8" t="s">
        <v>163</v>
      </c>
      <c r="C2" s="14">
        <f>333000*C3</f>
        <v>393273</v>
      </c>
      <c r="F2" s="8" t="s">
        <v>181</v>
      </c>
      <c r="G2" s="8" t="s">
        <v>182</v>
      </c>
      <c r="H2" s="8" t="s">
        <v>185</v>
      </c>
      <c r="I2" s="8" t="s">
        <v>183</v>
      </c>
      <c r="J2" s="8" t="s">
        <v>184</v>
      </c>
    </row>
    <row r="3" spans="2:12">
      <c r="B3" s="8" t="s">
        <v>180</v>
      </c>
      <c r="C3" s="14">
        <v>1.181</v>
      </c>
      <c r="F3" s="12" cm="1">
        <f t="array" ref="F3:F20">_xlfn.VSTACK(E27:E35,I27:I35)</f>
        <v>6.269094030728386</v>
      </c>
      <c r="G3" s="8" cm="1">
        <f t="array" ref="G3:G20">_xlfn.SEQUENCE(COUNTA(_xlfn.ANCHORARRAY(H3)))</f>
        <v>1</v>
      </c>
      <c r="H3" s="21" cm="1">
        <f t="array" ref="H3:H20">_xlfn._xlws.SORT(_xlfn.ANCHORARRAY(F3))</f>
        <v>2.5968381374771261</v>
      </c>
    </row>
    <row r="4" spans="2:12">
      <c r="B4" s="8" t="s">
        <v>159</v>
      </c>
      <c r="C4" s="14">
        <v>0.107</v>
      </c>
      <c r="F4" s="12">
        <v>5.4025414619492169</v>
      </c>
      <c r="G4" s="8">
        <v>2</v>
      </c>
      <c r="H4" s="21">
        <v>2.8094347745919372</v>
      </c>
      <c r="I4" s="12">
        <f>AVERAGE(H3:H4)</f>
        <v>2.7031364560345317</v>
      </c>
      <c r="J4" s="8" t="b">
        <f>AND(I4&gt;$C$20,I4&lt;$C$21)</f>
        <v>1</v>
      </c>
      <c r="K4" s="8" t="str" cm="1">
        <f t="array" ref="K4:K12">"Gap "&amp;_xlfn.SEQUENCE(COUNTA(_xlfn.ANCHORARRAY(L4)))</f>
        <v>Gap 1</v>
      </c>
      <c r="L4" s="14" cm="1">
        <f t="array" ref="L4:L12">_xlfn._xlws.FILTER(I4:I20,J4:J20=TRUE,"")</f>
        <v>2.7031364560345317</v>
      </c>
    </row>
    <row r="5" spans="2:12">
      <c r="B5" s="8" t="s">
        <v>160</v>
      </c>
      <c r="C5" s="14">
        <v>317.8</v>
      </c>
      <c r="F5" s="12">
        <v>4.4596997166232821</v>
      </c>
      <c r="G5" s="8">
        <v>3</v>
      </c>
      <c r="H5" s="21">
        <v>3.0142678927587934</v>
      </c>
      <c r="K5" s="8" t="str">
        <v>Gap 2</v>
      </c>
      <c r="L5" s="14">
        <v>3.2088278740893066</v>
      </c>
    </row>
    <row r="6" spans="2:12">
      <c r="B6" s="24" t="s">
        <v>113</v>
      </c>
      <c r="C6" s="25">
        <v>2.1440000000000001</v>
      </c>
      <c r="D6" s="25">
        <f>SQRT(C6^3/C3)</f>
        <v>2.8887650608226996</v>
      </c>
      <c r="F6" s="12">
        <v>3.9492817665424944</v>
      </c>
      <c r="G6" s="8">
        <v>4</v>
      </c>
      <c r="H6" s="21">
        <v>3.4033878554198198</v>
      </c>
      <c r="I6" s="12">
        <f>AVERAGE(H5:H6)</f>
        <v>3.2088278740893066</v>
      </c>
      <c r="J6" s="8" t="b">
        <f>AND(I6&gt;$C$20,I6&lt;$C$21)</f>
        <v>1</v>
      </c>
      <c r="K6" s="8" t="str">
        <v>Gap 3</v>
      </c>
      <c r="L6" s="14">
        <v>3.8605147493489707</v>
      </c>
    </row>
    <row r="7" spans="2:12">
      <c r="B7" s="24" t="s">
        <v>119</v>
      </c>
      <c r="C7" s="25">
        <v>19.073</v>
      </c>
      <c r="D7" s="25">
        <f>SQRT(C7^3/C3)</f>
        <v>76.648483085908964</v>
      </c>
      <c r="F7" s="12">
        <v>3.7717477321554465</v>
      </c>
      <c r="G7" s="8">
        <v>5</v>
      </c>
      <c r="H7" s="21">
        <v>3.7717477321554465</v>
      </c>
      <c r="K7" s="8" t="str">
        <v>Gap 4</v>
      </c>
      <c r="L7" s="14">
        <v>4.93112058928625</v>
      </c>
    </row>
    <row r="8" spans="2:12">
      <c r="B8" s="8" t="s">
        <v>126</v>
      </c>
      <c r="C8" s="14">
        <f>AVERAGE(C6:C7)</f>
        <v>10.608499999999999</v>
      </c>
      <c r="F8" s="12">
        <v>3.4033878554198198</v>
      </c>
      <c r="G8" s="8">
        <v>6</v>
      </c>
      <c r="H8" s="21">
        <v>3.9492817665424944</v>
      </c>
      <c r="I8" s="12">
        <f>AVERAGE(H7:H8)</f>
        <v>3.8605147493489707</v>
      </c>
      <c r="J8" s="8" t="b">
        <f>AND(I8&gt;$C$20,I8&lt;$C$21)</f>
        <v>1</v>
      </c>
      <c r="K8" s="8" t="str">
        <v>Gap 5</v>
      </c>
      <c r="L8" s="14">
        <v>6.3959841384606566</v>
      </c>
    </row>
    <row r="9" spans="2:12">
      <c r="B9" s="8" t="s">
        <v>158</v>
      </c>
      <c r="C9" s="14">
        <f>ABS((C7-C6))/2</f>
        <v>8.464500000000001</v>
      </c>
      <c r="F9" s="12">
        <v>3.0142678927587934</v>
      </c>
      <c r="G9" s="8">
        <v>7</v>
      </c>
      <c r="H9" s="21">
        <v>4.4596997166232821</v>
      </c>
      <c r="K9" s="8" t="str">
        <v>Gap 6</v>
      </c>
      <c r="L9" s="14">
        <v>8.369233542102549</v>
      </c>
    </row>
    <row r="10" spans="2:12">
      <c r="B10" s="8" t="s">
        <v>161</v>
      </c>
      <c r="C10" s="14">
        <f>C8+C9*((C4-C5)/(C4+C5))</f>
        <v>2.1496979022166851</v>
      </c>
      <c r="F10" s="12">
        <v>2.8094347745919372</v>
      </c>
      <c r="G10" s="8">
        <v>8</v>
      </c>
      <c r="H10" s="21">
        <v>5.4025414619492169</v>
      </c>
      <c r="I10" s="12">
        <f>AVERAGE(H9:H10)</f>
        <v>4.93112058928625</v>
      </c>
      <c r="J10" s="8" t="b">
        <f>AND(I10&gt;$C$20,I10&lt;$C$21)</f>
        <v>1</v>
      </c>
      <c r="K10" s="8" t="str">
        <v>Gap 7</v>
      </c>
      <c r="L10" s="14">
        <v>10.598105729146312</v>
      </c>
    </row>
    <row r="11" spans="2:12">
      <c r="B11" s="8" t="s">
        <v>162</v>
      </c>
      <c r="C11" s="14">
        <f>(C4+C5)/C2</f>
        <v>8.0836213012334956E-4</v>
      </c>
      <c r="F11" s="12">
        <v>2.5968381374771261</v>
      </c>
      <c r="G11" s="8">
        <v>9</v>
      </c>
      <c r="H11" s="21">
        <v>6.269094030728386</v>
      </c>
      <c r="K11" s="8" t="str">
        <v>Gap 8</v>
      </c>
      <c r="L11" s="14">
        <v>12.790776754865322</v>
      </c>
    </row>
    <row r="12" spans="2:12">
      <c r="B12" s="8" t="s">
        <v>164</v>
      </c>
      <c r="C12" s="14">
        <f>C7-C6</f>
        <v>16.929000000000002</v>
      </c>
      <c r="F12" s="12">
        <v>6.5228742461929272</v>
      </c>
      <c r="G12" s="8">
        <v>10</v>
      </c>
      <c r="H12" s="21">
        <v>6.5228742461929272</v>
      </c>
      <c r="I12" s="12">
        <f>AVERAGE(H11:H12)</f>
        <v>6.3959841384606566</v>
      </c>
      <c r="J12" s="8" t="b">
        <f>AND(I12&gt;$C$20,I12&lt;$C$21)</f>
        <v>1</v>
      </c>
      <c r="K12" s="8" t="str">
        <v>Gap 9</v>
      </c>
      <c r="L12" s="14">
        <v>15.151231192962467</v>
      </c>
    </row>
    <row r="13" spans="2:12">
      <c r="B13" s="8" t="s">
        <v>166</v>
      </c>
      <c r="C13" s="14">
        <v>2</v>
      </c>
      <c r="F13" s="12">
        <v>7.5691250660473655</v>
      </c>
      <c r="G13" s="8">
        <v>11</v>
      </c>
      <c r="H13" s="21">
        <v>7.5691250660473655</v>
      </c>
    </row>
    <row r="14" spans="2:12">
      <c r="B14" s="8" t="s">
        <v>167</v>
      </c>
      <c r="C14" s="14" cm="1">
        <f t="array" ref="C14">1-(C13*ROOT(C11,3))</f>
        <v>0.81369179474483777</v>
      </c>
      <c r="F14" s="12">
        <v>9.1693420181577316</v>
      </c>
      <c r="G14" s="8">
        <v>12</v>
      </c>
      <c r="H14" s="21">
        <v>9.1693420181577316</v>
      </c>
      <c r="I14" s="12">
        <f>AVERAGE(H13:H14)</f>
        <v>8.369233542102549</v>
      </c>
      <c r="J14" s="8" t="b">
        <f>AND(I14&gt;$C$20,I14&lt;$C$21)</f>
        <v>1</v>
      </c>
    </row>
    <row r="15" spans="2:12">
      <c r="B15" s="8" t="s">
        <v>165</v>
      </c>
      <c r="C15" s="14">
        <f>C12*C14</f>
        <v>13.774988393235361</v>
      </c>
      <c r="F15" s="12">
        <v>10.354417440262928</v>
      </c>
      <c r="G15" s="8">
        <v>13</v>
      </c>
      <c r="H15" s="21">
        <v>10.354417440262928</v>
      </c>
    </row>
    <row r="16" spans="2:12">
      <c r="B16" s="8" t="s">
        <v>170</v>
      </c>
      <c r="C16" s="14">
        <f>C4/(C4+C5)</f>
        <v>3.3657642014803068E-4</v>
      </c>
      <c r="F16" s="12">
        <v>10.841794018029697</v>
      </c>
      <c r="G16" s="8">
        <v>14</v>
      </c>
      <c r="H16" s="21">
        <v>10.841794018029697</v>
      </c>
      <c r="I16" s="12">
        <f>AVERAGE(H15:H16)</f>
        <v>10.598105729146312</v>
      </c>
      <c r="J16" s="8" t="b">
        <f>AND(I16&gt;$C$20,I16&lt;$C$21)</f>
        <v>1</v>
      </c>
    </row>
    <row r="17" spans="2:10">
      <c r="B17" s="8" t="s">
        <v>171</v>
      </c>
      <c r="C17" s="14">
        <f>C5/(C4+C5)</f>
        <v>0.99966342357985183</v>
      </c>
      <c r="F17" s="12">
        <v>12.015237092322455</v>
      </c>
      <c r="G17" s="8">
        <v>15</v>
      </c>
      <c r="H17" s="21">
        <v>12.015237092322455</v>
      </c>
    </row>
    <row r="18" spans="2:10">
      <c r="B18" s="8" t="s">
        <v>172</v>
      </c>
      <c r="C18" s="14">
        <f>C15*C16</f>
        <v>4.6363362809758307E-3</v>
      </c>
      <c r="F18" s="12">
        <v>13.566316417408188</v>
      </c>
      <c r="G18" s="8">
        <v>16</v>
      </c>
      <c r="H18" s="21">
        <v>13.566316417408188</v>
      </c>
      <c r="I18" s="12">
        <f>AVERAGE(H17:H18)</f>
        <v>12.790776754865322</v>
      </c>
      <c r="J18" s="8" t="b">
        <f>AND(I18&gt;$C$20,I18&lt;$C$21)</f>
        <v>1</v>
      </c>
    </row>
    <row r="19" spans="2:10">
      <c r="B19" s="8" t="s">
        <v>173</v>
      </c>
      <c r="C19" s="14">
        <f>C15*C17</f>
        <v>13.770352056954383</v>
      </c>
      <c r="F19" s="12">
        <v>14.555423165479802</v>
      </c>
      <c r="G19" s="8">
        <v>17</v>
      </c>
      <c r="H19" s="12">
        <v>14.555423165479802</v>
      </c>
    </row>
    <row r="20" spans="2:10">
      <c r="B20" s="8" t="s">
        <v>168</v>
      </c>
      <c r="C20" s="14">
        <f>C10-C18</f>
        <v>2.1450615659357091</v>
      </c>
      <c r="D20" s="8" t="s">
        <v>174</v>
      </c>
      <c r="E20" s="14">
        <f>C20-C6</f>
        <v>1.0615659357089413E-3</v>
      </c>
      <c r="F20" s="12">
        <v>15.74703922044513</v>
      </c>
      <c r="G20" s="8">
        <v>18</v>
      </c>
      <c r="H20" s="12">
        <v>15.74703922044513</v>
      </c>
      <c r="I20" s="12">
        <f>AVERAGE(H19:H20)</f>
        <v>15.151231192962467</v>
      </c>
      <c r="J20" s="8" t="b">
        <f>AND(I20&gt;$C$20,I20&lt;$C$21)</f>
        <v>1</v>
      </c>
    </row>
    <row r="21" spans="2:10">
      <c r="B21" s="8" t="s">
        <v>169</v>
      </c>
      <c r="C21" s="14">
        <f>C10+C19</f>
        <v>15.920049959171068</v>
      </c>
      <c r="D21" s="8" t="s">
        <v>175</v>
      </c>
      <c r="E21" s="14">
        <f>C7-C21</f>
        <v>3.1529500408289319</v>
      </c>
    </row>
    <row r="23" spans="2:10">
      <c r="B23" s="8" t="s">
        <v>179</v>
      </c>
      <c r="C23" s="12">
        <v>1.181</v>
      </c>
    </row>
    <row r="24" spans="2:10">
      <c r="E24" s="8" t="s">
        <v>121</v>
      </c>
      <c r="I24" s="8" t="s">
        <v>123</v>
      </c>
    </row>
    <row r="25" spans="2:10">
      <c r="B25" s="24" t="s">
        <v>113</v>
      </c>
      <c r="C25" s="25" cm="1">
        <f t="array" ref="C25:C26">TRANSPOSE(C6:D6)</f>
        <v>2.1440000000000001</v>
      </c>
      <c r="E25" s="8" t="s">
        <v>122</v>
      </c>
      <c r="F25" s="24" t="s">
        <v>119</v>
      </c>
      <c r="G25" s="25" cm="1">
        <f t="array" ref="G25:G26">TRANSPOSE(C7:D7)</f>
        <v>19.073</v>
      </c>
      <c r="I25" s="8" t="s">
        <v>122</v>
      </c>
    </row>
    <row r="26" spans="2:10">
      <c r="B26" s="24" t="s">
        <v>115</v>
      </c>
      <c r="C26" s="25">
        <v>2.8887650608226996</v>
      </c>
      <c r="D26" s="8" t="s">
        <v>114</v>
      </c>
      <c r="F26" s="24" t="s">
        <v>120</v>
      </c>
      <c r="G26" s="25">
        <v>76.648483085908964</v>
      </c>
      <c r="H26" s="8" t="s">
        <v>114</v>
      </c>
    </row>
    <row r="27" spans="2:10">
      <c r="B27" s="8" t="s">
        <v>108</v>
      </c>
      <c r="C27" s="8" t="s">
        <v>95</v>
      </c>
      <c r="D27" s="14">
        <v>5</v>
      </c>
      <c r="E27" s="14" cm="1">
        <f t="array" ref="E27">ROOT(($C$26*D27)^2*$C$3,3)</f>
        <v>6.269094030728386</v>
      </c>
      <c r="F27" s="8" t="s">
        <v>108</v>
      </c>
      <c r="G27" s="8" t="s">
        <v>95</v>
      </c>
      <c r="H27" s="14">
        <f>D27</f>
        <v>5</v>
      </c>
      <c r="I27" s="14" cm="1">
        <f t="array" ref="I27">ROOT(($G$26/H27)^2*$C$3,3)</f>
        <v>6.5228742461929272</v>
      </c>
    </row>
    <row r="28" spans="2:10">
      <c r="B28" s="8" t="s">
        <v>109</v>
      </c>
      <c r="C28" s="8" t="s">
        <v>94</v>
      </c>
      <c r="D28" s="14">
        <v>4</v>
      </c>
      <c r="E28" s="14" cm="1">
        <f t="array" ref="E28">ROOT(($C$26*D28)^2*$C$3,3)</f>
        <v>5.4025414619492169</v>
      </c>
      <c r="F28" s="8" t="s">
        <v>109</v>
      </c>
      <c r="G28" s="8" t="s">
        <v>94</v>
      </c>
      <c r="H28" s="14">
        <f t="shared" ref="H28:H35" si="0">D28</f>
        <v>4</v>
      </c>
      <c r="I28" s="14" cm="1">
        <f t="array" ref="I28">ROOT(($G$26/H28)^2*$C$3,3)</f>
        <v>7.5691250660473655</v>
      </c>
    </row>
    <row r="29" spans="2:10">
      <c r="B29" s="8" t="s">
        <v>110</v>
      </c>
      <c r="C29" s="8" t="s">
        <v>92</v>
      </c>
      <c r="D29" s="14">
        <v>3</v>
      </c>
      <c r="E29" s="14" cm="1">
        <f t="array" ref="E29">ROOT(($C$26*D29)^2*$C$3,3)</f>
        <v>4.4596997166232821</v>
      </c>
      <c r="F29" s="8" t="s">
        <v>110</v>
      </c>
      <c r="G29" s="8" t="s">
        <v>92</v>
      </c>
      <c r="H29" s="14">
        <f t="shared" si="0"/>
        <v>3</v>
      </c>
      <c r="I29" s="14" cm="1">
        <f t="array" ref="I29">ROOT(($G$26/H29)^2*$C$3,3)</f>
        <v>9.1693420181577316</v>
      </c>
    </row>
    <row r="30" spans="2:10">
      <c r="B30" s="8" t="s">
        <v>111</v>
      </c>
      <c r="C30" s="8" t="s">
        <v>98</v>
      </c>
      <c r="D30" s="14">
        <v>2.5</v>
      </c>
      <c r="E30" s="14" cm="1">
        <f t="array" ref="E30">ROOT(($C$26*D30)^2*$C$3,3)</f>
        <v>3.9492817665424944</v>
      </c>
      <c r="F30" s="8" t="s">
        <v>111</v>
      </c>
      <c r="G30" s="8" t="s">
        <v>98</v>
      </c>
      <c r="H30" s="14">
        <f t="shared" si="0"/>
        <v>2.5</v>
      </c>
      <c r="I30" s="14" cm="1">
        <f t="array" ref="I30">ROOT(($G$26/H30)^2*$C$3,3)</f>
        <v>10.354417440262928</v>
      </c>
    </row>
    <row r="31" spans="2:10">
      <c r="B31" s="8" t="s">
        <v>112</v>
      </c>
      <c r="C31" s="15" t="s">
        <v>187</v>
      </c>
      <c r="D31" s="14">
        <f>7/3</f>
        <v>2.3333333333333335</v>
      </c>
      <c r="E31" s="14" cm="1">
        <f t="array" ref="E31">ROOT(($C$26*D31)^2*$C$3,3)</f>
        <v>3.7717477321554465</v>
      </c>
      <c r="F31" s="8" t="s">
        <v>112</v>
      </c>
      <c r="G31" s="15" t="s">
        <v>187</v>
      </c>
      <c r="H31" s="14">
        <f t="shared" si="0"/>
        <v>2.3333333333333335</v>
      </c>
      <c r="I31" s="14" cm="1">
        <f t="array" ref="I31">ROOT(($G$26/H31)^2*$C$3,3)</f>
        <v>10.841794018029697</v>
      </c>
    </row>
    <row r="32" spans="2:10">
      <c r="B32" s="8" t="s">
        <v>116</v>
      </c>
      <c r="C32" s="8" t="s">
        <v>93</v>
      </c>
      <c r="D32" s="14">
        <v>2</v>
      </c>
      <c r="E32" s="14" cm="1">
        <f t="array" ref="E32">ROOT(($C$26*D32)^2*$C$3,3)</f>
        <v>3.4033878554198198</v>
      </c>
      <c r="F32" s="8" t="s">
        <v>116</v>
      </c>
      <c r="G32" s="8" t="s">
        <v>93</v>
      </c>
      <c r="H32" s="14">
        <f t="shared" si="0"/>
        <v>2</v>
      </c>
      <c r="I32" s="14" cm="1">
        <f t="array" ref="I32">ROOT(($G$26/H32)^2*$C$3,3)</f>
        <v>12.015237092322455</v>
      </c>
    </row>
    <row r="33" spans="2:9">
      <c r="B33" s="8" t="s">
        <v>117</v>
      </c>
      <c r="C33" s="8" t="s">
        <v>103</v>
      </c>
      <c r="D33" s="14">
        <v>1.667</v>
      </c>
      <c r="E33" s="14" cm="1">
        <f t="array" ref="E33">ROOT(($C$26*D33)^2*$C$3,3)</f>
        <v>3.0142678927587934</v>
      </c>
      <c r="F33" s="8" t="s">
        <v>117</v>
      </c>
      <c r="G33" s="8" t="s">
        <v>103</v>
      </c>
      <c r="H33" s="14">
        <f t="shared" si="0"/>
        <v>1.667</v>
      </c>
      <c r="I33" s="14" cm="1">
        <f t="array" ref="I33">ROOT(($G$26/H33)^2*$C$3,3)</f>
        <v>13.566316417408188</v>
      </c>
    </row>
    <row r="34" spans="2:9">
      <c r="B34" s="8" t="s">
        <v>118</v>
      </c>
      <c r="C34" s="8" t="s">
        <v>96</v>
      </c>
      <c r="D34" s="14">
        <v>1.5</v>
      </c>
      <c r="E34" s="14" cm="1">
        <f t="array" ref="E34">ROOT(($C$26*D34)^2*$C$3,3)</f>
        <v>2.8094347745919372</v>
      </c>
      <c r="F34" s="8" t="s">
        <v>118</v>
      </c>
      <c r="G34" s="8" t="s">
        <v>96</v>
      </c>
      <c r="H34" s="14">
        <f t="shared" si="0"/>
        <v>1.5</v>
      </c>
      <c r="I34" s="14" cm="1">
        <f t="array" ref="I34">ROOT(($G$26/H34)^2*$C$3,3)</f>
        <v>14.555423165479802</v>
      </c>
    </row>
    <row r="35" spans="2:9">
      <c r="B35" s="8" t="s">
        <v>186</v>
      </c>
      <c r="C35" s="8" t="s">
        <v>97</v>
      </c>
      <c r="D35" s="14">
        <v>1.333</v>
      </c>
      <c r="E35" s="14" cm="1">
        <f t="array" ref="E35">ROOT(($C$26*D35)^2*$C$3,3)</f>
        <v>2.5968381374771261</v>
      </c>
      <c r="F35" s="8" t="s">
        <v>186</v>
      </c>
      <c r="G35" s="8" t="s">
        <v>97</v>
      </c>
      <c r="H35" s="14">
        <f t="shared" si="0"/>
        <v>1.333</v>
      </c>
      <c r="I35" s="14" cm="1">
        <f t="array" ref="I35">ROOT(($G$26/H35)^2*$C$3,3)</f>
        <v>15.74703922044513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BSAEUAUABUAEEAUgBSAEEAWQAgAD0AIABMAEEATQBCAEQAQQAoAGEAcgByAGEAeQAsACAAcgBvAHcAcwAsACAAcgBlAHAAdAAsAFwAbgAgACAAIAAgAFQATwBDAE8ATAAoAFwAbgAgACAAIAAgACAAIAAgACAATQBBAEsARQBBAFIAUgBBAFkAKABSAE8AVwBTACgAYQByAHIAYQB5ACkAIAAqACAAcgBlAHAAdAAsACAAcgBvAHcAcwAsACAATABBAE0AQgBEAEEAKAByACwAIABjACwAIABJAE4ARABFAFgAKABhAHIAcgBhAHkALAAgADEAIAArACAATQBPAEQAKAByACAALQAgADEALAAgAFIATwBXAFMAKABhAHIAcgBhAHkAKQApACkAKQApAFwAbgAgACAAIAAgACkAXABuACkAOwBcAG4AXABuAFgATABDAE0AIAA9ACAATABBAE0AQgBEAEEAKABhACwAIABiACwAXABuACAAIAAgACAATABFAFQAKABcAG4AIAAgACAAIAAgACAAIAAgAHMAYwBhAGwAZQAsACAAMQAwACAAXgAgADYALABcAG4AIAAgACAAIAAgACAAIAAgAGEAcwBjAGEAbABlACwAIABhACAAKgAgAHMAYwBhAGwAZQAsAFwAbgAgACAAIAAgACAAIAAgACAAYgBzAGMAYQBsAGUALAAgAGIAIAAqACAAcwBjAGEAbABlACwAXABuACAAIAAgACAAIAAgACAAIABwAHIAbwBkACwAIABhAHMAYwBhAGwAZQAgACoAIABiAHMAYwBhAGwAZQAsAFwAbgAgACAAIAAgACAAIAAgACAAZwBjAGQALAAgAEcAQwBEACgAYQBzAGMAYQBsAGUALAAgAGIAcwBjAGEAbABlACkALABcAG4AIAAgACAAIAAgACAAIAAgAHgAbABjAG0ALAAgAHAAcgBvAGQAIAAvACAAZwBjAGQALABcAG4AIAAgACAAIAAgACAAIAAgAHIAZQBzAHUAbAB0ACwAIAB4AGwAYwBtACAALwAgAHMAYwBhAGwAZQAsAFwAbgAgACAAIAAgACAAIAAgACAAcgBlAHMAdQBsAHQAXABuACAAIAAgACAAKQBcAG4AKQA7AFwAbgBcAG4AWABYAEwAQwBNACAAPQAgAEwAQQBNAEIARABBACgAUgBBAE4ARwBFACwAXABuACAAIAAgACAATABFAFQAKABcAG4AIAAgACAAIAAgACAAIAAgAHMAYwBhAGwAZQAsACAAMQAwACAAXgAgADYALABcAG4AIAAgACAAIAAgACAAIAAgAHMAYwBhAGwAZQBkACwAIABNAEEAUAAoAHIAYQBuAGcAZQAsACAATABBAE0AQgBEAEEAKAB4ACwAIABSAE8AVQBOAEQAKAB4ACAAKgAgAHMAYwBhAGwAZQAsACAAMAApACkAKQAsAFwAbgAgACAAIAAgACAAIAAgACAALwAqACAAUwBjAGEAbABlACAAZQBhAGMAaAAgAHYAYQBsAHUAZQAgACoALwBcAG4AIAAgACAAIAAgACAAIAAgAHMAYwBhAGwAZQBkAEwAQwBNACwAIABSAEUARABVAEMARQAoADEALAAgAHMAYwBhAGwAZQBkACwAIABMAEEATQBCAEQAQQAoAGEAYwBjACwAIAB4ACwAIAAoAGEAYwBjACAAKgAgAHgAKQAgAC8AIABHAEMARAAoAGEAYwBjACwAIAB4ACkAKQApACwAXABuACAAIAAgACAAIAAgACAAIAAvACoAIABMAEMATQAgAG8AZgAgAHMAYwBhAGwAZQBkACAAdgBhAGwAdQBlAHMAIAAqAC8AXABuACAAIAAgACAAIAAgACAAIABzAGMAYQBsAGUAZABMAEMATQAgAC8AIABzAGMAYQBsAGUALwAqACAAUwBjAGEAbABlACAAYgBhAGMAawAgAGQAbwB3AG4AIAAqAC8AXABuACAAIAAgACAAIAAgACAAIABcAG4AIAAgACAAIAApAFwAbgApADsAXABuAFwAbgAvACoAIABHAEUATgBFAFIAQQBMACAARgBVAE4AQwBUAEkATwBOAFMAIAAqAC8AXABuAEYASQBOAEQAXwBQAEMAVAAgAD0AIABMAEEATQBCAEQAQQAoAHQAYQByAGcAZQB0ACwAIABtAGEAeAAsACAAbQBpAG4ALAAgAFsAcAByAGUAYwBdACwAXABuACAAIAAgACAATABFAFQAKABcAG4AIAAgACAAIAAgACAAIAAgAHAAcgBlAGMALAAgAEkARgAoACgASQBTAE8ATQBJAFQAVABFAEQAKABwAHIAZQBjACkAKQAgACsAIAAoAHAAcgBlAGMAIAA8ACAAMAApACwAIAAzACwAIABwAHIAZQBjACkALABcAG4AIAAgACAAIAAgACAAIAAgAHIAZQBzAHUAbAB0ACwAIABSAE8AVQBOAEQAKAAoAHQAYQByAGcAZQB0ACAALQAgAG0AaQBuACkAIAAvACAAKABtAGEAeAAgAC0AIABtAGkAbgApACwAIABwAHIAZQBjACkALABcAG4AIAAgACAAIAAgACAAIAAgAHIAZQBzAHUAbAB0AFwAbgAgACAAIAAgACkAXABuACkAOwBcAG4AXABuAFAAQwBUACAAPQAgAEwAQQBNAEIARABBACgAbwBuAGUALAAgAHQAdwBvACwAIAB0AGgAcgBlAGUALAAgAFsAbQBvAGQAZQBdACwAIABbAHAAcgBlAGMAXQAsAFwAbgAgACAAIAAgAFwAbgAgACAAIAAgAC8AKgAgAEkATgBQAFUAVAAgAE0ATwBEAEUAUwBcAG4AIAAgACAAIAAwADoAIAB0AGEAcgBnAGUAdAAsACAAdQBwAHAAZQByACwAIABsAG8AdwBlAHIAXABuACAAIAAgACAAMQA6ACAAcABjAHQALAAgAHUAcABwAGUAcgAsACAAbABvAHcAZQByAFwAbgAgACAAIAAgADIAOgAgAHQAYQByAGcAZQB0ACwAIABwAGMAdAAsACAAdQBwAHAAZQByAFwAbgAgACAAIAAgADMAOgAgAHQAYQByAGcAZQB0ACwAIABwAGMAdAAsACAAbABvAHcAZQByAFwAbgAqAC8AXABuACAAIAAgACAATABFAFQAKABcAG4AIAAgACAAIAAgACAAIAAgAHAAcgBlAGMALAAgAEkARgAoACgASQBTAE8ATQBJAFQAVABFAEQAKABwAHIAZQBjACkAKQAgACsAIAAoAHAAcgBlAGMAIAA8ACAAMAApACwAIAAzACwAIABwAHIAZQBjACkALABcAG4AIAAgACAAIAAgACAAIAAgAG0AbwBkAGUALAAgAEkARgAoACgASQBTAE8ATQBJAFQAVABFAEQAKABtAG8AZABlACkAIAArACAAKABtAG8AZABlACAAPAAgADAAKQAgACsAIAAoAG0AbwBkAGUAIAA+ACAAMwApACkALAAgADAALAAgAG0AbwBkAGUAKQAsAFwAbgAgACAAIAAgACAAIAAgACAAbwB1AHQAcAB1AHQALAAgAFMAVwBJAFQAQwBIACgAXABuACAAIAAgACAAIAAgACAAIAAgACAAIAAgAG0AbwBkAGUALABcAG4AIAAgACAAIAAgACAAIAAgACAAIAAgACAAMAAsACAAUgBPAFUATgBEACgAKABvAG4AZQAgAC0AIAB0AGgAcgBlAGUAKQAgAC8AIAAoAHQAdwBvACAALQAgAHQAaAByAGUAZQApACwAIABwAHIAZQBjACkALABcAG4AIAAgACAAIAAgACAAIAAgACAAIAAgACAAMQAsACAAUgBPAFUATgBEACgAKABvAG4AZQAgACoAIAAoAHQAdwBvACAALQAgAHQAaAByAGUAZQApACkAIAArACAAdABoAHIAZQBlACwAIABwAHIAZQBjACkALABcAG4AIAAgACAAIAAgACAAIAAgACAAIAAgACAAMgAsACAAUgBPAFUATgBEACgAKABvAG4AZQAgAC0AIAAoAHQAdwBvACAAKgAgAHQAaAByAGUAZQApACkAIAAvACAAKAAxACAALQAgAHQAdwBvACkALAAgAHAAcgBlAGMAKQAsAFwAbgAgACAAIAAgACAAIAAgACAAIAAgACAAIAAzACwAIABSAE8AVQBOAEQAKAAoACgAbwBuAGUAIAAtACAAdABoAHIAZQBlACkAIAAvACAAdAB3AG8AKQAgACsAIAB0AGgAcgBlAGUALAAgAHAAcgBlAGMAKQBcAG4AIAAgACAAIAAgACAAIAAgACkALABcAG4AIAAgACAAIAAgACAAIAAgAG8AdQB0AHAAdQB0AFwAbgAgACAAIAAgACkAXABuACkAOwBcAG4AXABuAE0AXwBTAE8AUgBUACAAPQAgAEwAQQBNAEIARABBACgAYQByAHIAYQB5ACwAIABjAG8AbABzACwAIABMAEUAVAAoAGMAbwBsAGMAbwB1AG4AdAAsACAAQwBPAFUATgBUAEEAKABDAE8ATABVAE0ATgAoAGEAcgByAGEAeQApACkALAAgAGwAaQBzAHQALAAgAGMAbwBsAHMALAAgAGMAbwBsAGMAbwB1AG4AdAApACkAOwBcAG4AXABuAC8AKgAgAEIARQBOAEYATwBSAEQAXwBQAFIATwBCAEEAQgBJAEwASQBUAFkAXABuAFIAZQB0AHUAcgBuAHMAIAB0AGgAZQAgAEIAZQBuAGYAbwByAGQAIABwAHIAbwBiAGEAYgBpAGwAaQB0AHkAIABmAG8AcgAgAHQAaABlACAAZwBpAHYAZQBuACAAaQBuAHAAdQB0ACAAYgBhAHMAZQBkACAAbwBuACAAaQB0AHMAIABzAHQAYQByAHQAaQBuAGcAIABkAGkAZwBpAHQAXABuACoALwBcAG4AQgBFAE4ARgBPAFIARABfAFAAUgBPAEIAQQBCAEkATABJAFQAWQAgAD0AIABMAEEATQBCAEQAQQAoAGkAbgBwAHUAdAAsAFwAbgAgACAAIAAgAEwARQBUACgAbwB1AHQAcAB1AHQALAAgAEkARgAoAGkAbgBwAHUAdAAgAD4APQAgADEALAAgAEwATwBHACgAMQAgACsAIAAoADEAIAAvACAATQBPAEQAKABWAEEATABVAEUAKABMAEUARgBUACgAaQBuAHAAdQB0ACwAIAAxACkAKQAsACAAMQAwACkAKQApACwAIABcACIAIwBWAEEATABVAEUAIQBcACIAKQAsACAAbwB1AHQAcAB1AHQAKQBcAG4AKQA7AFwAbgBcAG4ALwAqACAAQgBFAE4ARgBPAFIARABcAG4AXABuAFIAZQB0AHUAcgBuAHMAIAB0AGgAZQAgAEIAZQBuAGYAbwByAGQAIABEAGkAcwByAGkAYgB1AHQAaQBvAG4AXABuACoALwBcAG4AQgBFAE4ARgBPAFIARAAgAD0AIABMAEEATQBCAEQAQQAoAFsAbgB1AGwAbABdACwAXABuACAAIAAgACAATABFAFQAKABcAG4AIAAgACAAIAAgACAAIAAgAGwAaQBzAHQALAAgAFQATwBDAE8ATAAoAHsAMQAsACAAMgAsACAAMwAsACAANAAsACAANQAsACAANgAsACAANwAsACAAOAAsACAAOQB9ACkALABcAG4AIAAgACAAIAAgACAAIAAgAG8AdQB0AHAAdQB0ACwAIABCAFkAUgBPAFcAKABsAGkAcwB0ACwAIABMAEEATQBCAEQAQQAoAHgALAAgAEwATwBHACgAMQAgACsAIAAoADEAIAAvACAATQBPAEQAKAB4ACwAIAAxADAAKQApACkAKQApACwAXABuACAAIAAgACAAIAAgACAAIABvAHUAdABwAHUAdABcAG4AIAAgACAAIAApAFwAbgApADsAXABuAFwAbgBSAEEATgBEAEIARQBOAEYATwBSAEQAXwBTAEkATgBHAEwARQAgAD0AIABMAEEATQBCAEQAQQAoAFsAbgB1AGwAbABdACwAXABuACAAIAAgACAAXABuACAAIAAgACAALwAvACAAZwBlAG4AZQByAGEAdABlAHMAIABhACAAcwBpAG4AZwBsAGUAIABkAGkAZwBpAHQAIAB3AGkAdABoACAAYQAgAHAAcgBvAGIAYQBiAGkAbABpAHQAeQAgAGIAYQBzAGUAZAAgAG8AbgAgAHQAaABlACAAQgBlAG4AZgBvAHIAZAAgAEQAaQBzAHQAcgBpAGIAdQB0AGkAbwBuAFwAbgAgACAAIAAgAEwARQBUACgAXABuACAAIAAgACAAIAAgACAAIABuAHUAbQBsAGkAcwB0ACwAIABTAEUAUQBVAEUATgBDAEUAKAA5ACwAIAAsACAAMQAsACAAMQApACwAXABuACAAIAAgACAAIAAgACAAIABwAHIAbwBiAGwAaQBzAHQALAAgAHsAMAAuADMAMAAxACwAIAAwAC4ANAA3ADcALAAgADAALgA2ADAAMgAsACAAMAAuADYAOQA5ACwAIAAwAC4ANwA3ADgALAAgADAALgA4ADQANQAsACAAMAAuADkAMAAzACwAIAAwAC4AOQA1ADQALAAgADEAfQAsAFwAbgAgACAAIAAgACAAIAAgACAAcAByAG8AYgAsACAAWABMAE8ATwBLAFUAUAAoAFIAQQBOAEQAKAApACwAIABwAHIAbwBiAGwAaQBzAHQALAAgAHAAcgBvAGIAbABpAHMAdAAsACAALAAgADEAKQAsAFwAbgAgACAAIAAgACAAIAAgACAAcAByAG8AYgBfAGkAbgBkAGUAeAAsACAATQBBAFQAQwBIACgAcAByAG8AYgAsACAAcAByAG8AYgBsAGkAcwB0ACwAIAAwACkALABcAG4AIAAgACAAIAAgACAAIAAgAGQAaQBnAGkAdAAsACAASQBOAEQARQBYACgAbgB1AG0AbABpAHMAdAAsACAAcAByAG8AYgBfAGkAbgBkAGUAeAApACwAXABuACAAIAAgACAAIAAgACAAIABWAEEATABVAEUAKABkAGkAZwBpAHQAKQBcAG4AIAAgACAAIAApAFwAbgApADsAXABuAFwAbgBSAEEATgBEAEIARQBOAEYATwBSAEQAIAA9ACAATABBAE0AQgBEAEEAKABbAGQAaQBnAGkAdABzAF0ALABcAG4AIAAgACAAIABMAEUAVAAoAFwAbgAgACAAIAAgACAAIAAgACAAZABpAGcAaQB0AHMALAAgAEkARgAoAEkAUwBPAE0ASQBUAFQARQBEACgAZABpAGcAaQB0AHMAKQAsACAAMwAsACAAZABpAGcAaQB0AHMAKQAsAFwAbgAgACAAIAAgACAAIAAgACAAbgB1AG0AbABpAHMAdAAsACAAUwBFAFEAVQBFAE4AQwBFACgAOQAsACAAMQAsACAAMQAsACAAMQApACwAXABuACAAIAAgACAAIAAgACAAIABwAHIAbwBiAGwAaQBzAHQALAAgAHsAMAAuADMAMAAxACwAIAAwAC4ANAA3ADcALAAgADAALgA2ADAAMgAsACAAMAAuADYAOQA5ACwAIAAwAC4ANwA3ADgALAAgADAALgA4ADQANQAsACAAMAAuADkAMAAzACwAIAAwAC4AOQA1ADQALAAgADEAfQAsAFwAbgAgACAAIAAgACAAIAAgACAAcgBhAG4AZABvAG0AXwBuAHUAbQBiAGUAcgBzACwAIABSAEEATgBEAEEAUgBSAEEAWQAoAGQAaQBnAGkAdABzACwAIAAxACkALABcAG4AIAAgACAAIAAgACAAIAAgAGcAZQBuAGUAcgBhAHQAZQBkAF8AZABpAGcAaQB0AHMALAAgAEkATgBEAEUAWAAoAFwAbgAgACAAIAAgACAAIAAgACAAIAAgACAAIABuAHUAbQBsAGkAcwB0ACwAXABuACAAIAAgACAAIAAgACAAIAAgACAAIAAgAE0AQQBUAEMASAAoAFgATABPAE8ASwBVAFAAKAByAGEAbgBkAG8AbQBfAG4AdQBtAGIAZQByAHMALAAgAHAAcgBvAGIAbABpAHMAdAAsACAAcAByAG8AYgBsAGkAcwB0ACwAIAAsACAAMQApACwAIABwAHIAbwBiAGwAaQBzAHQALAAgADEAKQBcAG4AIAAgACAAIAAgACAAIAAgACkALABcAG4AIAAgACAAIAAgACAAIAAgAGcAZQBuAGUAcgBhAHQAZQBkAF8AbgB1AG0AYgBlAHIALAAgAFQARQBYAFQASgBPAEkATgAoAFwAIgBcACIALAAgAFQAUgBVAEUALAAgAGcAZQBuAGUAcgBhAHQAZQBkAF8AZABpAGcAaQB0AHMAKQAsAFwAbgAgACAAIAAgACAAIAAgACAAVgBBAEwAVQBFACgAZwBlAG4AZQByAGEAdABlAGQAXwBuAHUAbQBiAGUAcgApAFwAbgAgACAAIAAgACkAXABuACkAOwBcAG4AXABuAEwASQBTAFQAXwBEAEkAVgBJAFMATwBSAFMAIAA9ACAATABBAE0AQgBEAEEAKABpAG4AcAB1AHQALAAgAFsAbQBvAGQAZQBdACwAXABuACAAIAAgACAAXABuACAAIAAgACAALwAqACAAbABpAHMAdABzACAAdABoAGUAIABkAGkAdgBpAHMAbwByAHMAIABvAGYAIAB0AGgAZQAgAGkAbgBwAHUAdAAgAG4AdQBtAGIAZQByAFwAbgAgACAAIAAgAG0AbwBkAGUAOgBcAG4AIAAgACAAIAAgACAAIAAgADAAIAAtACAAcwBwAGkAbABsAHMAIAByAGUAcwB1AGwAdABzACAAaQBuACAAbQB1AGwAdABpAHAAbABlACAAcgBvAHcAcwBcAG4AIAAgACAAIAAgACAAIAAgADEAIAAtACAAcwBwAGkAbABsAHMAIAByAGUAcwB1AGwAdABzACAAaQBuACAAbQB1AGwAdABpAHAAbABlACAAYwBvAGwAdQBtAG4AcwBcAG4AIAAgACAAIAAgACAAIAAgADIAIAAtACAAZgBvAHIAbQBhAHQAcwAgAHIAZQBzAHUAbAB0AHMAIABhAHMAIABhAG4AIABhAHIAcgBhAHkAIABjAG8AbgBzAHQAYQBuAHQAOgAgAHsAeAAsACAAeQAsACAAegB9AFwAbgBcAG4AKgAvAFwAbgAgACAAIAAgAEwARQBUACgAXABuACAAIAAgACAAIAAgACAAIABtAG8AZABlACwAIABJAEYAKAAoAEkAUwBPAE0ASQBUAFQARQBEACgAbQBvAGQAZQApACAAKwAgACgAbQBvAGQAZQAgAD4AIAAyACkAIAArACAAKABtAG8AZABlACAAPAAgADAAKQApACwAIAAwACwAIABtAG8AZABlACkALABcAG4AIAAgACAAIAAgACAAIAAgAGwAaQBzAHQALAAgAFMATwBSAFQAKABGAEkATABUAEUAUgAoAFMARQBRAFUARQBOAEMARQAoAGkAbgBwAHUAdAAsACAAMQApACwAIABNAE8ARAAoAGkAbgBwAHUAdAAsACAAUwBFAFEAVQBFAE4AQwBFACgAaQBuAHAAdQB0ACwAIAAxACkAKQAgAD0AIAAwACkAKQAsAFwAbgAgACAAIAAgACAAIAAgACAAbwB1AHQAcAB1AHQALAAgAFMAVwBJAFQAQwBIACgAbQBvAGQAZQAsACAAMAAsACAAbABpAHMAdAAsACAAMQAsACAAVABSAEEATgBTAFAATwBTAEUAKABsAGkAcwB0ACkALAAgADIALAAgAFwAIgB7AFwAIgAgACYAIABUAEUAWABUAEoATwBJAE4AKABcACIALAAgAFwAIgAsACAALAAgAGwAaQBzAHQAKQAgACYAIABcACIAfQBcACIALAAgACkALABcAG4AIAAgACAAIAAgACAAIAAgAG8AdQB0AHAAdQB0AFwAbgAgACAAIAAgACkAXABuACkAOwBcAG4AXABuAFMARQBFAEQARQBEAF8AVgBBAEwAVQBFACAAPQAgAEwAQQBNAEIARABBACgAcwBlAGUAZAAsAFwAbgAgACAAIAAgAEwARQBUACgAXABuACAAIAAgACAAIAAgACAAIAAvACoAIABSAEEATgBEAEIARQBUAFcARQBFAE4AKAAxACwAMgBeADMAMQAtADIAKQAgACoALwBcAG4AIAAgACAAIAAgACAAIAAgAG8AdQB0AHAAdQB0ACwAIABNAE8ARAAoADQAOAAyADcAMQAgACoAIABzAGUAZQBkACwAIAAyACAAXgAgADMAMQAgAC0AIAAxACkALABcAG4AIAAgACAAIAAgACAAIAAgAG8AdQB0AHAAdQB0AFwAbgAgACAAIAAgACkAXABuACkAOwBcAG4AXABuAFQAQQBCAEwARQBfAE8AVQBUACAAPQAgAEwAQQBNAEIARABBACgAWwBuAHUAbABsAF0ALABcAG4AIAAgACAAIABMAEUAVAAoAGwAaQBzAHQAMQAsACAAewBcACIAQQBcACIAOwAgAFwAIgBCAFwAIgA7ACAAXAAiAEMAXAAiADsAIABcACIARABcACIAOwAgAFwAIgBGAFwAIgB9ACwAIABsAGkAcwB0ADIALAAgAHsAMQA7ACAAMgA7ACAAMwA7ACAANAA7ACAANQB9ACwAIABDAEgATwBPAFMARQAoAHsAMQAsACAAMgB9ACwAIABsAGkAcwB0ADEALAAgAGwAaQBzAHQAMgApACkAXABuACkAOwBcAG4AXABuAEgARQBBAEQARQBSAFMAXwBPAFUAVAAgAD0AIABMAEEATQBCAEQAQQAoAFsAbgB1AGwAbABdACwAXABuACAAIAAgACAATABFAFQAKABcAG4AIAAgACAAIAAgACAAIAAgAGgAZQBhAGQAZQByAHMALAAgAHsAXAAiAEEAXAAiADsAIABcACIAQgBcACIAfQAsAFwAbgAgACAAIAAgACAAIAAgACAAbABpAHMAdAAxACwAIAB7AFwAIgBWAFwAIgA7ACAAXAAiAFcAXAAiADsAIABcACIAWABcACIAOwAgAFwAIgBZAFwAIgA7ACAAXAAiAFoAXAAiAH0ALABcAG4AIAAgACAAIAAgACAAIAAgAGwAaQBzAHQAMgAsACAAewAxADsAIAAyADsAIAAzADsAIAA0ADsAIAA1AH0ALABcAG4AIAAgACAAIAAgACAAIAAgAG8AdQB0AGwAaQBzAHQAMQAsACAAVgBTAFQAQQBDAEsAKABJAE4ARABFAFgAKABoAGUAYQBkAGUAcgBzACwAIAAxACkALAAgAGwAaQBzAHQAMQApACwAXABuACAAIAAgACAAIAAgACAAIABvAHUAdABsAGkAcwB0ADIALAAgAFYAUwBUAEEAQwBLACgASQBOAEQARQBYACgAaABlAGEAZABlAHIAcwAsACAAMgApACwAIABsAGkAcwB0ADIAKQAsAFwAbgAgACAAIAAgACAAIAAgACAALwAqAG8AdQB0AGwAaQBzAHQAMQAqAC8AXABuACAAIAAgACAAIAAgACAAIAAvACoAaQBuAGQAZQB4ACgAaABlAGEAZABlAHIAcwAsADIAKQAqAC8AXABuACAAIAAgACAAIAAgACAAIABDAEgATwBPAFMARQAoAHsAMQAsACAAMgB9ACwAIABvAHUAdABsAGkAcwB0ADEALAAgAG8AdQB0AGwAaQBzAHQAMgApAFwAbgAgACAAIAAgACkAXABuACkAOwBcAG4AXABuAEMATwBQAFkAXwBSAEUAVgBFAFIAUwBFACAAPQAgAEwAQQBNAEIARABBACgAcgBhAG4AZwBlACwAIABbAG0AbwBkAGUAXQAsAFwAbgAgACAAIAAgAEwARQBUACgAXABuACAAIAAgACAAIAAgACAAIABtAG8AZABlACwAIABJAEYAKABPAFIAKABJAFMATwBNAEkAVABUAEUARAAoAG0AbwBkAGUAKQAsACAAbQBvAGQAZQAgAD4AIAAxACkALAAgADAALAAgAG0AbwBkAGUAKQAsAFwAbgAgACAAIAAgACAAIAAgACAAbABpAHMAdABsAGUAbgAsACAASQBGACgAbQBvAGQAZQAgAD0AIAAwACwAIABDAE8AVQBOAFQAQQAoAHIAYQBuAGcAZQApACwAIABDAE8AVQBOAFQAQQAoAHIAYQBuAGcAZQApACAALQAgADEAKQAsAFwAbgAgACAAIAAgACAAIAAgACAAcgBlAHYAZQByAHMAZQBkACwAIABJAE4ARABFAFgAKAByAGEAbgBnAGUALAAgAFMARQBRAFUARQBOAEMARQAoAGwAaQBzAHQAbABlAG4ALAAgACwAIABsAGkAcwB0AGwAZQBuACwAIAAtADEAKQApACwAXABuACAAIAAgACAAIAAgACAAIAByAGUAdgBlAHIAcwBlAGQAXABuACAAIAAgACAAKQBcAG4AKQA7AFwAbgBcAG4ATABFAFQAVABFAFIAXwBHAFIAQQBEAEUAIAA9ACAATABBAE0AQgBEAEEAKABpAG4AcAB1AHQALAAgAFsAbQBvAGQAZQBdACwAXABuACAAIAAgACAATABFAFQAKABcAG4AIAAgACAAIAAgACAAIAAgAG0AbwBkAGUALAAgAEkARgAoAE8AUgAoAEkAUwBPAE0ASQBUAFQARQBEACgAbQBvAGQAZQApACwAIABtAG8AZABlACAAPgAgADIAKQAsACAAMAAsACAAbQBvAGQAZQApACwAXABuACAAIAAgACAAIAAgACAAIAB2AGEAbAB1AGUALAAgAGkAbgBwAHUAdAAgACoAIAAxADAAMAAsAFwAbgAgACAAIAAgACAAIAAgACAAbABlAHQAdABlAHIAcwAsACAAewBcACIAQQBcACIALAAgAFwAIgBCAFwAIgAsACAAXAAiAEMAXAAiACwAIABcACIARABcACIALAAgAFwAIgBGAFwAIgB9ACwAXABuACAAIAAgACAAIAAgACAAIABtAGkAbgBpAG0AYQAsACAAUwBXAEkAVABDAEgAKABcAG4AIAAgACAAIAAgACAAIAAgACAAIAAgACAAbQBvAGQAZQAsAFwAbgAgACAAIAAgACAAIAAgACAAIAAgACAAIAAwACwAIAB7ADkAMAAsACAAOAAwACwAIAA3ADAALAAgADYAMAAsACAAMAB9ACwAXABuACAAIAAgACAAIAAgACAAIAAgACAAIAAgADEALAAgAHsAOAAwACwAIAA2ADAALAAgADQAMAAsACAAMgAwACwAIAAwAH0ALABcAG4AIAAgACAAIAAgACAAIAAgACAAIAAgACAAMgAsACAAewA3ADkALAAgADUAOQAsACAAMwA5ACwAIAAxADkALAAgADAAfQBcAG4AIAAgACAAIAAgACAAIAAgACkALABcAG4AIAAgACAAIAAgACAAIAAgAGcAcgBhAGQAZQAsACAAWABMAE8ATwBLAFUAUAAoAHYAYQBsAHUAZQAsACAAbQBpAG4AaQBtAGEALAAgAGwAZQB0AHQAZQByAHMALAAgAFwAIgAtAFwAIgAsACAALQAxACkALABcAG4AIAAgACAAIAAgACAAIAAgAGcAcgBhAGQAZQBcAG4AIAAgACAAIAApAFwAbgApADsAXABuAFwAbgBTAFAATABJAFQARgBSAEEAQwBUAEkATwBOACAAPQAgAEwAQQBNAEIARABBACgAaQBuAHAAdQB0ACwAIABbAG0AbwBkAGUAXQAsAFwAbgAgACAAIAAgAEwARQBUACgAXABuACAAIAAgACAAIAAgACAAIABtAG8AZABlACwAIABJAEYAKABPAFIAKABJAFMATwBNAEkAVABUAEUARAAoAG0AbwBkAGUAKQAsACAAbQBvAGQAZQAgAD4AIAAxACkALAAgADAALAAgAG0AbwBkAGUAKQAsAFwAbgAgACAAIAAgACAAIAAgACAAcwBlAGwAZQBjAHQALAAgAEkARgAoAE8AUgAoAEkAUwBPAE0ASQBUAFQARQBEACgAbQBvAGQAZQApACwAIABtAG8AZABlACAAPgAgADIAKQAsACAAMAAsACAAbQBvAGQAZQApACwAXABuACAAIAAgACAAIAAgACAAIABuAHUAbQBlAHIALAAgAFYAQQBMAFUARQAoAFQARQBYAFQAQgBFAEYATwBSAEUAKABpAG4AcAB1AHQALAAgAFwAIgAvAFwAIgApACkALABcAG4AIAAgACAAIAAgACAAIAAgAGQAZQBuAG8AbQAsACAAVgBBAEwAVQBFACgAVABFAFgAVABBAEYAVABFAFIAKABpAG4AcAB1AHQALAAgAFwAIgAvAFwAIgApACkALABcAG4AIAAgACAAIAAgACAAIAAgAGwAaQBzAHQALAAgAFQARQBYAFQASgBPAEkATgAoAFwAIgB8AFwAIgAsACAALAAgAG4AdQBtAGUAcgAsACAAZABlAG4AbwBtACkALABcAG4AIAAgACAAIAAgACAAIAAgAG8AdQB0AHAAdQB0ACwAIABTAFcASQBUAEMASAAoAG0AbwBkAGUALAAgADAALAAgAFQARQBYAFQAUwBQAEwASQBUACgAbABpAHMAdAAsACAAXAAiAHwAXAAiACkALAAgADEALAAgAFQAUgBBAE4AUwBQAE8AUwBFACgAVABFAFgAVABTAFAATABJAFQAKABsAGkAcwB0ACwAIABcACIAfABcACIAKQApACkALABcAG4AIAAgACAAIAAgACAAIAAgAG8AdQB0AHAAdQB0AFwAbgAgACAAIAAgACkAXABuACkAOwBcAG4AXABuAEYASQBMAFQARQBSAFcASQBMAEQAIAA9ACAATABBAE0AQgBEAEEAKABhAHIAcgBhAHkALAAgAGYAaQBuAGQALAAgAFsAbQBvAGQAZQBdACwAXABuACAAIAAgACAATABFAFQAKABcAG4AIAAgACAAIAAgACAAIAAgAG0AbwBkAGUALAAgAEkARgAoAE8AUgAoAEkAUwBPAE0ASQBUAFQARQBEACgAbQBvAGQAZQApACwAIABtAG8AZABlACAAPgAgADIAKQAsACAAMAAsACAAbQBvAGQAZQApACwAXABuACAAIAAgACAAIAAgACAAIABvAHUAdABwAHUAdAAsACAASQBGAEUAUgBSAE8AUgAoAFwAbgAgACAAIAAgACAAIAAgACAAIAAgACAAIABTAFcASQBUAEMASAAoAFwAbgAgACAAIAAgACAAIAAgACAAIAAgACAAIAAgACAAIAAgAG0AbwBkAGUALABcAG4AIAAgACAAIAAgACAAIAAgACAAIAAgACAAIAAgACAAIAAwACwAIABGAEkATABUAEUAUgAoAGEAcgByAGEAeQAsACAASQBTAE4AVQBNAEIARQBSACgAUwBFAEEAUgBDAEgAKABmAGkAbgBkACwAIABhAHIAcgBhAHkAKQApACkALABcAG4AIAAgACAAIAAgACAAIAAgACAAIAAgACAAIAAgACAAIAAyACwAIABGAEkATABUAEUAUgAoAGEAcgByAGEAeQAsACAAKABCAFkAUgBPAFcAKABhAHIAcgBhAHkALAAgAEwAQQBNAEIARABBACgAeAAsACAAWABMAE8ATwBLAFUAUAAoAFwAIgAqAFwAIgAgACYAIABmAGkAbgBkACwAIAB4ACwAIAB4ACwAIABcACIAXAAiACwAIAAyACkAKQApACAAPAA+ACAAXAAiAFwAIgApACkALABcAG4AIAAgACAAIAAgACAAIAAgACAAIAAgACAAIAAgACAAIAAxACwAIABGAEkATABUAEUAUgAoAGEAcgByAGEAeQAsACAAKABCAFkAUgBPAFcAKABhAHIAcgBhAHkALAAgAEwAQQBNAEIARABBACgAeAAsACAAWABMAE8ATwBLAFUAUAAoAGYAaQBuAGQAIAAmACAAXAAiACoAXAAiACwAIAB4ACwAIAB4ACwAIABcACIAXAAiACwAIAAyACkAKQApACAAPAA+ACAAXAAiAFwAIgApACkAXABuACAAIAAgACAAIAAgACAAIAAgACAAIAAgACkALABcAG4AIAAgACAAIAAgACAAIAAgACAAIAAgACAAXAAiAE4AbwBuAGUAXAAiAFwAbgAgACAAIAAgACAAIAAgACAAKQAsAFwAbgAgACAAIAAgACAAIAAgACAAbwB1AHQAcAB1AHQAXABuACAAIAAgACAAKQBcAG4AKQA7AFwAbgBcAG4AQwBPAE4AVABBAEkATgBTACAAPQAgAEwAQQBNAEIARABBACgAYQByAHIAYQB5ACwAIABmAGkAbgBkACwAIABbAHAAbwBzAGkAdABpAG8AbgBdACwAIABbAGMAYQBzAGUAUwBlAG4AcwBpAHQAaQB2AGUAXQAsAFwAbgAgACAAIAAgAEwARQBUACgAXABuACAAIAAgACAAIAAgACAAIAAvAC8AIABTAGUAdAAgAGQAZQBmAGEAdQBsAHQAIAB2AGEAbAB1AGUAcwAgAGYAbwByACAAbwBwAHQAaQBvAG4AYQBsACAAcABhAHIAYQBtAGUAdABlAHIAcwBcAG4AIAAgACAAIAAgACAAIAAgAHAAbwBzAGkAdABpAG8AbgAsACAASQBGACgATwBSACgASQBTAE8ATQBJAFQAVABFAEQAKABwAG8AcwBpAHQAaQBvAG4AKQAsACAAcABvAHMAaQB0AGkAbwBuACAAPgAgADIALAAgAHAAbwBzAGkAdABpAG8AbgAgADwAIAAwACkALAAgADAALAAgAHAAbwBzAGkAdABpAG8AbgApACwAXABuACAAIAAgACAAIAAgACAAIABjAGEAcwBlAFMAZQBuAHMAaQB0AGkAdgBlACwAIABJAEYAKABcAG4AIAAgACAAIAAgACAAIAAgACAAIAAgACAATwBSACgASQBTAE8ATQBJAFQAVABFAEQAKABjAGEAcwBlAFMAZQBuAHMAaQB0AGkAdgBlACkALAAgAGMAYQBzAGUAUwBlAG4AcwBpAHQAaQB2AGUAIAA+ACAAMQAsACAAYwBhAHMAZQBTAGUAbgBzAGkAdABpAHYAZQAgADwAIAAwACkALABcAG4AIAAgACAAIAAgACAAIAAgACAAIAAgACAAMAAsAFwAbgAgACAAIAAgACAAIAAgACAAIAAgACAAIABjAGEAcwBlAFMAZQBuAHMAaQB0AGkAdgBlAFwAbgAgACAAIAAgACAAIAAgACAAKQAsAFwAbgAgACAAIAAgACAAIAAgACAAXABuACAAIAAgACAAIAAgACAAIAAvAC8AIABEAGUAZgBpAG4AZQAgAHMAZQBhAHIAYwBoACAAcABhAHQAdABlAHIAbgBzACAAYgBhAHMAZQBkACAAbwBuACAAcABvAHMAaQB0AGkAbwBuAFwAbgAgACAAIAAgACAAIAAgACAAcABhAHQAdABlAHIAbgAsACAAUwBXAEkAVABDAEgAKABcAG4AIAAgACAAIAAgACAAIAAgACAAIAAgACAAcABvAHMAaQB0AGkAbwBuACwAXABuACAAIAAgACAAIAAgACAAIAAgACAAIAAgADAALAAgAGYAaQBuAGQALAAgAC8ALwAgAE0AYQB0AGMAaAAgAGEAbgB5AHcAaABlAHIAZQBcAG4AIAAgACAAIAAgACAAIAAgACAAIAAgACAAMQAsACAAZgBpAG4AZAAgACYAIABcACIAKgBcACIALAAgAC8ALwAgAFMAdABhAHIAdABzACAAdwBpAHQAaABcAG4AIAAgACAAIAAgACAAIAAgACAAIAAgACAAMgAsACAAXAAiACoAXAAiACAAJgAgAGYAaQBuAGQAIAAvAC8AIABFAG4AZABzACAAdwBpAHQAaABcAG4AIAAgACAAIAAgACAAIAAgACkALABcAG4AIAAgACAAIAAgACAAIAAgAFwAbgAgACAAIAAgACAAIAAgACAALwAvACAARABlAGYAaQBuAGUAIABmAGkAbAB0AGUAcgBpAG4AZwAgAGwAbwBnAGkAYwAgAGIAYQBzAGUAZAAgAG8AbgAgAGMAYQBzAGUAIABzAGUAbgBzAGkAdABpAHYAaQB0AHkAXABuACAAIAAgACAAIAAgACAAIABmAGkAbAB0AGUAcgBlAGQALAAgAEkARgAoAFwAbgAgACAAIAAgACAAIAAgACAAIAAgACAAIABjAGEAcwBlAFMAZQBuAHMAaQB0AGkAdgBlACAAPQAgADAALABcAG4AIAAgACAAIAAgACAAIAAgACAAIAAgACAALwAvACAAQwBhAHMAZQAtAGkAbgBzAGUAbgBzAGkAdABpAHYAZQAgAHMAZQBhAHIAYwBoACAAdQBzAGkAbgBnACAAUwBFAEEAUgBDAEgAXABuACAAIAAgACAAIAAgACAAIAAgACAAIAAgAEYASQBMAFQARQBSACgAYQByAHIAYQB5ACwAIABJAFMATgBVAE0AQgBFAFIAKABTAEUAQQBSAEMASAAoAHAAYQB0AHQAZQByAG4ALAAgAGEAcgByAGEAeQApACkAKQAsAFwAbgAgACAAIAAgACAAIAAgACAAIAAgACAAIAAvAC8AIABDAGEAcwBlAC0AcwBlAG4AcwBpAHQAaQB2AGUAIABzAGUAYQByAGMAaAAgAHUAcwBpAG4AZwAgAEYASQBOAEQAXABuACAAIAAgACAAIAAgACAAIAAgACAAIAAgAEYASQBMAFQARQBSACgAYQByAHIAYQB5ACwAIABJAFMATgBVAE0AQgBFAFIAKABGAEkATgBEACgAcABhAHQAdABlAHIAbgAsACAAYQByAHIAYQB5ACkAKQApAFwAbgAgACAAIAAgACAAIAAgACAAKQAsAFwAbgAgACAAIAAgACAAIAAgACAAXABuACAAIAAgACAAIAAgACAAIAAvAC8AIABSAGUAdAB1AHIAbgAgAHQAaABlACAAZgBpAGwAdABlAHIAZQBkACAAcgBlAHMAdQBsAHQAIABvAHIAIABcACIATgBvAG4AZQBcACIAIABpAGYAIABuAG8AIABtAGEAdABjAGgAIABpAHMAIABmAG8AdQBuAGQAXABuACAAIAAgACAAIAAgACAAIABJAEYARQBSAFIATwBSACgAZgBpAGwAdABlAHIAZQBkACwAIABcACIATgBvAG4AZQBcACIAKQBcAG4AIAAgACAAIAApAFwAbgApADsAXABuAFwAbgBQAFAAUwBDAF8ARwBFAFQATABBAFMAVAAgAD0AIABMAEEATQBCAEQAQQAoAGkAbgAsAFwAbgAgACAAIAAgAEwARQBUACgAXABuACAAIAAgACAAIAAgACAAIABpAG4AcAB1AHQALAAgAFQATwBDAE8ATAAoAGkAbgAsACAAMwApACwAXABuACAAIAAgACAAIAAgACAAIAB3AGgAbwBsAGUAXwBuAGEAbQBlACwAIABJAEYAKABJAFMATgBVAE0AQgBFAFIAKABTAEUAQQBSAEMASAAoAFwAIgAoAFwAIgAsACAAaQBuAHAAdQB0ACkAKQAsACAAVABFAFgAVABCAEUARgBPAFIARQAoAGkAbgBwAHUAdAAsACAAXAAiACgAXAAiACkALAAgAFwAIgBUAEIAQQBcACIAKQAsAFwAbgAgACAAIAAgACAAIAAgACAAbABhAHMAdABfAG4AYQBtAGUALAAgAFQARQBYAFQAQQBGAFQARQBSACgAdwBoAG8AbABlAF8AbgBhAG0AZQAsACAAXAAiACAAXAAiACwAIAAtADIALAAgACwAIAAsACAAXAAiAFQAQgBBAFwAIgApACwAXABuACAAIAAgACAAIAAgACAAIABUAFIASQBNACgAbABhAHMAdABfAG4AYQBtAGUAKQBcAG4AIAAgACAAIAApAFwAbgApADsAXABuAFwAbgBQAFAAUwBDAF8ATgBBAE0ARQBPAE4ATABZACAAPQAgAEwAQQBNAEIARABBACgAYQByAHIAYQB5ACwAIABMAEUAVAAoAG4AYQBtAGUALAAgAFQAUgBJAE0AKABUAEUAWABUAEIARQBGAE8AUgBFACgAYQByAHIAYQB5ACwAIABcACIAKABcACIALAAgACwAIAAsACAALAAgAGEAcgByAGEAeQApACkALAAgAFQATwBDAE8ATAAoAG4AYQBtAGUALAAgADMAKQApACkAOwBcAG4AXABuAFAAUABTAEMAXwBTAFAATABJAFQATgBBAE0ARQAgAD0AIABMAEEATQBCAEQAQQAoAGEAcgByAGEAeQAsAFwAbgAgACAAIAAgAEwARQBUACgAbgBhAG0AZQAsACAAVABSAEkATQAoAFQARQBYAFQAQgBFAEYATwBSAEUAKABhAHIAcgBhAHkALAAgAFwAIgAoAFwAIgAsACAALAAgACwAIAAsACAAYQByAHIAYQB5ACkAKQAsACAAVABFAFgAVABTAFAATABJAFQAKABuAGEAbQBlACwAIABcACIAIABcACIAKQApAFwAbgApADsAXABuAFwAbgBTAFAATABJAFQATgBBAE0ARQAgAD0AIABMAEEATQBCAEQAQQAoAGkAbgBwAHUAdAAsAFwAbgAgACAAIAAgAEwARQBUACgAXABuACAAIAAgACAAIAAgACAAIABMAGEAcwB0ACwAIABUAEUAWABUAEIARQBGAE8AUgBFACgAaQBuAHAAdQB0ACwAIABcACIALAAgAFwAIgApACwAXABuACAAIAAgACAAIAAgACAAIABSAGUAbQBhAGkAbgBkAGUAcgAsACAAVABFAFgAVABBAEYAVABFAFIAKABpAG4AcAB1AHQALAAgAFwAIgAsACAAXAAiACkALABcAG4AIAAgACAAIAAgACAAIAAgAEgAYQBzAE0AaQBkAGQAbABlACwAIABJAFMATgBVAE0AQgBFAFIAKABTAEUAQQBSAEMASAAoAFwAIgAgAFwAIgAsACAAUgBlAG0AYQBpAG4AZABlAHIAKQApACwAXABuACAAIAAgACAAIAAgACAAIABGAGkAcgBzAHQALAAgAEkARgAoAEgAYQBzAE0AaQBkAGQAbABlACAAPQAgAFQAUgBVAEUALAAgAFQARQBYAFQAQgBFAEYATwBSAEUAKABSAGUAbQBhAGkAbgBkAGUAcgAsACAAXAAiACAAXAAiACkALAAgAFIAZQBtAGEAaQBuAGQAZQByACkALABcAG4AIAAgACAAIAAgACAAIAAgAE0AaQBkAGQAbABlACwAIABJAEYAKABIAGEAcwBNAGkAZABkAGwAZQAgAD0AIABUAFIAVQBFACwAIABUAEUAWABUAEEARgBUAEUAUgAoAFIAZQBtAGEAaQBuAGQAZQByACwAIABcACIAIABcACIAKQAsACAAXAAiAFwAIgApACwAXABuACAAIAAgACAAIAAgACAAIABMAGkAcwB0ACwAIABUAEUAWABUAEoATwBJAE4AKABcACIAfABcACIALAAgAFQAUgBVAEUALAAgAEwAYQBzAHQALAAgAEYAaQByAHMAdAAsACAATQBpAGQAZABsAGUAKQAsAFwAbgAgACAAIAAgACAAIAAgACAAVABFAFgAVABTAFAATABJAFQAKABMAGkAcwB0ACwAIABcACIAfABcACIAKQBcAG4AIAAgACAAIAApAFwAbgApADsAXABuAFwAbgAvACoAIABSAEEATgBEAFMAVABSAEkATgBHAFwAbgBcAG4AZwBlAG4AZQByAGEAdABlAHMAIABhACAAcgBhAG4AZABvAG0AIABhAGwAcABoAGEAYgBlAHQAaQBjACAAcwB0AHIAaQBuAGcAIABvAGYAIABzAHAAZQBjAGkAZgBpAGUAZAAgAGwAZQBuAGcAdABoAFwAbgAqAC8AXABuAFIAQQBOAEQAUwBUAFIASQBOAEcAIAA9ACAATABBAE0AQgBEAEEAKABbAGwAZQBuAF0ALAAgAFsAbQBvAGQAZQBdACwAXABuACAAIAAgACAATABFAFQAKABcAG4AIAAgACAAIAAgACAAIAAgAG0AbwBkAGUALAAgAEkARgAoAE8AUgAoAEkAUwBPAE0ASQBUAFQARQBEACgAbQBvAGQAZQApACwAIABtAG8AZABlACAAPgAgADIAKQAsACAAMAAsACAAbQBvAGQAZQApACwAXABuACAAIAAgACAAIAAgACAAIABsAGUAbgAsACAASQBGACgATwBSACgASQBTAE8ATQBJAFQAVABFAEQAKABsAGUAbgApACwAIABsAGUAbgAgAD0AIAAwACkALAAgADUALAAgAGwAZQBuACkALABcAG4AIAAgACAAIAAgACAAIAAgAHMAbQBhAGwAbAAsACAAUwBFAFEAVQBFAE4AQwBFACgAMgA2ACwAIAAsACAAOQA3ACwAIAAxACkALABcAG4AIAAgACAAIAAgACAAIAAgAGwAYQByAGcAZQAsACAAUwBFAFEAVQBFAE4AQwBFACgAMgA2ACwAIAAsACAANgA1ACwAIAAxACkALABcAG4AIAAgACAAIAAgACAAIAAgAGEAbABsAF8AbABpAHMAdAAsACAAVgBTAFQAQQBDAEsAKABzAG0AYQBsAGwALAAgAGwAYQByAGcAZQApACwAXABuACAAIAAgACAAIAAgACAAIAByAGEAbgBkAF8AbABpAHMAdAAsACAAUwBXAEkAVABDAEgAKABcAG4AIAAgACAAIAAgACAAIAAgACAAIAAgACAAbQBvAGQAZQAsAFwAbgAgACAAIAAgACAAIAAgACAAIAAgACAAIAAwACwAIABJAE4ARABFAFgAKABhAGwAbABfAGwAaQBzAHQALAAgAFIAQQBOAEQAQQBSAFIAQQBZACgAbABlAG4ALAAgACwAIAAxACwAIABDAE8AVQBOAFQAKABhAGwAbABfAGwAaQBzAHQAKQAsACAAVABSAFUARQApACkALABcAG4AIAAgACAAIAAgACAAIAAgACAAIAAgACAAMQAsACAASQBOAEQARQBYACgAcwBtAGEAbABsACwAIABSAEEATgBEAEEAUgBSAEEAWQAoAGwAZQBuACwAIAAsACAAMQAsACAAQwBPAFUATgBUACgAcwBtAGEAbABsACkALAAgAFQAUgBVAEUAKQApACwAXABuACAAIAAgACAAIAAgACAAIAAgACAAIAAgADIALAAgAEkATgBEAEUAWAAoAGwAYQByAGcAZQAsACAAUgBBAE4ARABBAFIAUgBBAFkAKABsAGUAbgAsACAALAAgADEALAAgAEMATwBVAE4AVAAoAGwAYQByAGcAZQApACwAIABUAFIAVQBFACkAKQBcAG4AIAAgACAAIAAgACAAIAAgACkALABcAG4AIAAgACAAIAAgACAAIAAgAG8AdQB0AHAAdQB0ACwAIABDAE8ATgBDAEEAVAAoAEIAWQBSAE8AVwAoAHIAYQBuAGQAXwBsAGkAcwB0ACwAIABMAEEATQBCAEQAQQAoAHEALAAgAEMASABBAFIAKABxACkAKQApACkALABcAG4AIAAgACAAIAAgACAAIAAgAG8AdQB0AHAAdQB0AFwAbgAgACAAIAAgACkAXABuACkAOwBcAG4AXABuAC8AKgAgAFIAQQBOAEQARABJAEcASQBUAFMAXABuAFwAbgBnAGUAbgBlAHIAYQB0AGUAcwAgAGEAIAByAGEAbgBkAG8AbQAgAGEAbABwAGgAYQBiAGUAdABpAGMAIABzAHQAcgBpAG4AZwAgAG8AZgAgAHMAcABlAGMAaQBmAGkAZQBkACAAbABlAG4AZwB0AGgAXABuACoALwBcAG4AUgBBAE4ARABEAEkARwBJAFQAUwAgAD0AIABMAEEATQBCAEQAQQAoAFsAbABlAG4AXQAsAFwAbgAgACAAIAAgAEwARQBUACgAXABuACAAIAAgACAAIAAgACAAIABsAGUAbgAsACAASQBGACgASQBTAE8ATQBJAFQAVABFAEQAKABsAGUAbgApACwAIAA1ACwAIABsAGUAbgApACwAXABuACAAIAAgACAAIAAgACAAIABtAGkAbgAsACAASQBGACgAbABlAG4AIAA9ACAAMQAsACAAMAAsACAAMQAwACAAXgAgACgAbABlAG4AIAAtACAAMQApACkALABcAG4AIAAgACAAIAAgACAAIAAgAG0AYQB4ACwAIABJAEYAKABsAGUAbgAgAD0AIAAxACwAIAA5ACwAIAAxADAAIABeACAAbABlAG4AKQAgAC0AIAAxACwAXABuACAAIAAgACAAIAAgACAAIABSAEEATgBEAEIARQBUAFcARQBFAE4AKABtAGkAbgAsACAAbQBhAHgAKQBcAG4AIAAgACAAIAApAFwAbgApADsAXABuAFwAbgAvACoAIABSAEEATgBEAEcAUgBPAFUAUABcAG4AXABuAGcAZQBuAGUAcgBhAHQAZQBzACAAYQAgAHIAYQBuAGQAbwBtACAAYQBsAHAAaABhAG4AdQBtAGUAcgBpAGMAIABzAHQAcgBpAG4AZwAgAG8AZgAgAHMAcABlAGMAaQBmAGkAZQBkACAAbABlAG4AZwB0AGgAXABuACoALwBcAG4AUgBBAE4ARABHAFIATwBVAFAAIAA9ACAATABBAE0AQgBEAEEAKABbAGwAZQBuAF0ALABcAG4AIAAgACAAIABMAEUAVAAoAFwAbgAgACAAIAAgACAAIAAgACAAbABlAG4ALAAgAEkARgAoAE8AUgAoAEkAUwBPAE0ASQBUAFQARQBEACgAbABlAG4AKQAsACAAbABlAG4AIAA9ACAAMAApACwAIAA1ACwAIABsAGUAbgApACwAXABuACAAIAAgACAAIAAgACAAIABzAG0AYQBsAGwALAAgAFMARQBRAFUARQBOAEMARQAoADIANgAsACAALAAgADkANwAsACAAMQApACwAXABuACAAIAAgACAAIAAgACAAIABsAGEAcgBnAGUALAAgAFMARQBRAFUARQBOAEMARQAoADIANgAsACAALAAgADYANQAsACAAMQApACwAXABuACAAIAAgACAAIAAgACAAIABuAHUAbQBiAGUAcgBzACwAIABTAEUAUQBVAEUATgBDAEUAKAAxADAALAAgACwAIAA0ADgALAAgADEAKQAsAFwAbgAgACAAIAAgACAAIAAgACAAZQB4AHQAcgBhAHMALAAgAHsAXABuACAAIAAgACAAIAAgACAAIAAgACAAIAAgADEAMgA2ADsAXABuACAAIAAgACAAIAAgACAAIAAgACAAIAAgADMAMwA7AFwAbgAgACAAIAAgACAAIAAgACAAIAAgACAAIAA2ADQAOwBcAG4AIAAgACAAIAAgACAAIAAgACAAIAAgACAAMwA1ADsAXABuACAAIAAgACAAIAAgACAAIAAgACAAIAAgADMANgA7AFwAbgAgACAAIAAgACAAIAAgACAAIAAgACAAIAAzADcAOwBcAG4AIAAgACAAIAAgACAAIAAgACAAIAAgACAAOQA0ADsAXABuACAAIAAgACAAIAAgACAAIAAgACAAIAAgADMAOAA7AFwAbgAgACAAIAAgACAAIAAgACAAIAAgACAAIAA0ADIAOwBcAG4AIAAgACAAIAAgACAAIAAgACAAIAAgACAANAAwADsAXABuACAAIAAgACAAIAAgACAAIAAgACAAIAAgADQAMQA7AFwAbgAgACAAIAAgACAAIAAgACAAIAAgACAAIAA5ADUAOwBcAG4AIAAgACAAIAAgACAAIAAgACAAIAAgACAANAA1ADsAXABuACAAIAAgACAAIAAgACAAIAAgACAAIAAgADQAMwA7AFwAbgAgACAAIAAgACAAIAAgACAAIAAgACAAIAA2ADEAOwBcAG4AIAAgACAAIAAgACAAIAAgACAAIAAgACAAMQAyADMAOwBcAG4AIAAgACAAIAAgACAAIAAgACAAIAAgACAAOQAxADsAXABuACAAIAAgACAAIAAgACAAIAAgACAAIAAgADEAMgA1ADsAXABuACAAIAAgACAAIAAgACAAIAAgACAAIAAgADkAMwA7AFwAbgAgACAAIAAgACAAIAAgACAAIAAgACAAIAAxADIANAA7AFwAbgAgACAAIAAgACAAIAAgACAAIAAgACAAIAA5ADIAOwBcAG4AIAAgACAAIAAgACAAIAAgACAAIAAgACAANQA4ADsAXABuACAAIAAgACAAIAAgACAAIAAgACAAIAAgADUAOQA7AFwAbgAgACAAIAAgACAAIAAgACAAIAAgACAAIAA2ADAAOwBcAG4AIAAgACAAIAAgACAAIAAgACAAIAAgACAANAA0ADsAXABuACAAIAAgACAAIAAgACAAIAAgACAAIAAgADYAMgA7AFwAbgAgACAAIAAgACAAIAAgACAAIAAgACAAIAA0ADYAOwBcAG4AIAAgACAAIAAgACAAIAAgACAAIAAgACAANgAzAFwAbgAgACAAIAAgACAAIAAgACAAfQAsAFwAbgAgACAAIAAgACAAIAAgACAAYQBsAGwAXwBsAGkAcwB0ACwAIABWAFMAVABBAEMASwAoAHMAbQBhAGwAbAAsACAAbABhAHIAZwBlACwAIABuAHUAbQBiAGUAcgBzACwAIABlAHgAdAByAGEAcwApACwAXABuACAAIAAgACAAIAAgACAAIAByAGEAbgBkAF8AbABpAHMAdAAsACAASQBOAEQARQBYACgAYQBsAGwAXwBsAGkAcwB0ACwAIABSAEEATgBEAEEAUgBSAEEAWQAoAGwAZQBuACwAIAAsACAAMQAsACAAQwBPAFUATgBUACgAYQBsAGwAXwBsAGkAcwB0ACkALAAgAFQAUgBVAEUAKQApACwAXABuACAAIAAgACAAIAAgACAAIABvAHUAdABwAHUAdAAsACAAQwBPAE4AQwBBAFQAKABCAFkAUgBPAFcAKAByAGEAbgBkAF8AbABpAHMAdAAsACAATABBAE0AQgBEAEEAKABxACwAIABDAEgAQQBSACgAcQApACkAKQApACwAXABuACAAIAAgACAAIAAgACAAIABvAHUAdABwAHUAdABcAG4AIAAgACAAIAApAFwAbgApADsAXABuAFwAbgAvACoAIABGAFIAQQBDAF8ARABJAFYAXABuACoALwBcAG4ARgBSAEEAQwBfAEQASQBWACAAPQAgAEwAQQBNAEIARABBACgAaQBuAHAAdQB0ACwAXABuACAAIAAgACAATABFAFQAKABuAHUAbQBlAHIALAAgAFQARQBYAFQAQgBFAEYATwBSAEUAKABpAG4AcAB1AHQALAAgAFwAIgAvAFwAIgApACwAIABkAGUAbgBvAG0ALAAgAFQARQBYAFQAQQBGAFQARQBSACgAaQBuAHAAdQB0ACwAIABcACIALwBcACIAKQAsACAAbgB1AG0AZQByACAALwAgAGQAZQBuAG8AbQApAFwAbgApADsAXABuAFwAbgAvACoAIABUAEUAWABUAF8AQwBPAE4ARABFAE4AUwBFAFwAbgBSAGUAZAB1AGMAZQBzACAAdABlAHgAdAAgAHQAbwAgAGEAIAB1AG4AaQBxAHUAZQAsACAAcwBvAHIAdABlAGQAIABsAGkAcwB0ACAAbwBmACAAaQB0AHMAIABjAG8AbgBzAGkAdAB1AGUAbgB0ACAAYwBoAGEAcgBhAGMAdABlAHIAcwA7AFwAbgBzAHQAcgBpAHAAcwAgAHMAcABhAGMAZQBzAFwAbgAqAC8AXABuAFQARQBYAFQAXwBDAE8ATgBEAEUATgBTAEUAIAA9ACAATABBAE0AQgBEAEEAKABpAG4AcAB1AHQALAAgAFsAcwB0AHkAbABlAF0ALAAgAFsAbQBvAGQAZQBdACwAXABuACAAIAAgACAATABFAFQAKABcAG4AIAAgACAAIAAgACAAIAAgAG0AbwBkAGUALAAgAEkARgAoACgASQBTAE8ATQBJAFQAVABFAEQAKABtAG8AZABlACkAKQAgACsAIAAoAG0AbwBkAGUAIAA8ACAAMAApACAAKwAgACgAbQBvAGQAZQAgAD4AIAAyACkALAAgADAALAAgAG0AbwBkAGUAKQAsAFwAbgAgACAAIAAgACAAIAAgACAAcwB0AHkAbABlACwAIABJAEYAKAAoAEkAUwBPAE0ASQBUAFQARQBEACgAcwB0AHkAbABlACkAKQAgACsAIAAoAHMAdAB5AGwAZQAgADwAIAAwACkAIAArACAAKABzAHQAeQBsAGUAIAA+ACAAMgApACwAIAAwACwAIABzAHQAeQBsAGUAKQAsAFwAbgAgACAAIAAgACAAIAAgACAAcwB0AHIAaQBwACwAIABTAFUAQgBTAFQASQBUAFUAVABFACgAaQBuAHAAdQB0ACwAIABcACIAIABcACIALAAgAFwAIgBcACIAKQAsAFwAbgAgACAAIAAgACAAIAAgACAAYQByAHIALAAgAE0ASQBEACgAcwB0AHIAaQBwACwAIABTAEUAUQBVAEUATgBDAEUAKABMAEUATgAoAHMAdAByAGkAcAApACkALAAgADEAKQAsAFwAbgAgACAAIAAgACAAIAAgACAAcwB0AHkAbABlAGQALAAgAFMAVwBJAFQAQwBIACgAcwB0AHkAbABlACwAIAAwACwAIABhAHIAcgAsACAAMQAsACAATABPAFcARQBSACgAYQByAHIAKQAsACAAMgAsACAAVQBQAFAARQBSACgAYQByAHIAKQApACwAXABuACAAIAAgACAAIAAgACAAIAByAGUAcwB1AGwAdAAsACAAUwBXAEkAVABDAEgAKABcAG4AIAAgACAAIAAgACAAIAAgACAAIAAgACAAbQBvAGQAZQAsAFwAbgAgACAAIAAgACAAIAAgACAAIAAgACAAIAAwACwAIABDAE8ATgBDAEEAVAAoAHMAdAB5AGwAZQBkACkALABcAG4AIAAgACAAIAAgACAAIAAgACAAIAAgACAAMQAsACAAQwBPAE4AQwBBAFQAKABVAE4ASQBRAFUARQAoAHMAdAB5AGwAZQBkACkAKQAsAFwAbgAgACAAIAAgACAAIAAgACAAIAAgACAAIAAyACwAIABDAE8ATgBDAEEAVAAoAFMATwBSAFQAKABVAE4ASQBRAFUARQAoAHMAdAB5AGwAZQBkACkAKQApAFwAbgAgACAAIAAgACAAIAAgACAAKQAsAFwAbgAgACAAIAAgACAAIAAgACAAcgBlAHMAdQBsAHQAXABuACAAIAAgACAAKQBcAG4AKQA7AFwAbgBcAG4ATQBFAFQAQQBMAFMAIAA9ACAATABBAE0AQgBEAEEAKABbAG0AYQB4AF0ALAAgAFsAcAByAGUAYwBpAHMAaQBvAG4AXQAsAFwAbgAgACAAIAAgAEwARQBUACgAXABuACAAIAAgACAAIAAgACAAIABtAGEAeAAsACAASQBGACgASQBTAE8ATQBJAFQAVABFAEQAKABtAGEAeAApACwAIAA5ACwAIABtAGEAeAApACwAXABuACAAIAAgACAAIAAgACAAIABwAHIAZQBjAGkAcwBpAG8AbgAsACAASQBGACgASQBTAE8ATQBJAFQAVABFAEQAKABwAHIAZQBjAGkAcwBpAG8AbgApACwAIAA1ACwAIABwAHIAZQBjAGkAcwBpAG8AbgApACwAXABuACAAIAAgACAAIAAgACAAIABwAHIAZQBjACwAIABcACIAIwAuAFwAIgAgACYAIABSAEUAUABUACgAXAAiADAAXAAiACwAIABwAHIAZQBjAGkAcwBpAG8AbgApACwAXABuACAAIAAgACAAIAAgACAAIABsAGkAcwB0ACwAIABTAEUAUQBVAEUATgBDAEUAKABtAGEAeAAsACAALAAgADEAKQAsAFwAbgAgACAAIAAgACAAIAAgACAAbwB1AHQAcAB1AHQALAAgAFYAQQBMAFUARQAoAFQARQBYAFQAKABCAFkAUgBPAFcAKABsAGkAcwB0ACwAIABMAEEATQBCAEQAQQAoAHgALAAgAFMAUQBSAFQAKAAxACAAKwAgACgAeAAgAF4AIAAyACkAIAAvACAANAApACAAKwAgACgAeAAgAC8AIAAyACkAKQApACwAIABwAHIAZQBjACkAKQAsAFwAbgAgACAAIAAgACAAIAAgACAAbwB1AHQAcAB1AHQAXABuACAAIAAgACAAKQBcAG4AKQA7AFwAbgBcAG4ALwAqACAAUwBVAE0AXwBBAFAAOgBcAG4AXABuAFIAZQB0AHUAcgBuAHMAIAB0AGgAZQAgAHMAdQBtACAAbwBmACAAYQBuACAAYQByAGkAdABoAG0AZQB0AGkAYwAgAHAAcgBvAGcAcgBlAHMAcwBpAG8AbgAgAGMAYQBsAGMAdQBsAGEAdABlAGQAIABmAHIAbwBtAFwAbgAgACAAIAAgAHQAaABlACAAbABvAHcAZQByACAAYgBvAHUAbgBkAFwAbgAgACAAIAAgAHQAaABlACAAbABlAG4AZwB0AGgAIABvAGYAIAB0AGgAZQAgAHMAZQBxAHUAZQBuAGMAZQBcAG4AIAAgACAAIAB0AGgAZQAgAGkAbgBjAHIAZQBtAGUAbgB0ACAAYgBlAHQAdwBlAGUAbgAgAGkAdABlAG0AcwAgAGkAbgAgAHQAaABlACAAcwBlAHEAdQBlAG4AYwBlAFwAbgBcAG4ARQAuAGcALgAgAFMAVQBNAF8AQQBQACgANAAsADEANQAsADUAKQAgAC0APgAgADUAOAA1ACwAIAB3AGgAaQBjAGgAIABpAHMAOgBcAG4AIAAgACAAIAB0AGgAZQAgAHMAdQBtACAAbwBmACAAYQBsAGwAIABpAG4AdABlAGcAZQByAHMAIABzAHQAYQByAHQAaQBuAGcAIAB3AGkAdABoACAANABcAG4AIAAgACAAIABhAG4AZAAgAGkAbgBjAHIAZQBtAGUAbgB0AGkAbgBnACAAYgB5ACAANQBcAG4AIAAgACAAIABhACAAdABvAHQAYQBsACAAbwBmACAAMQA1ACAAdABpAG0AZQBzACwAXABuACAAIAAgACAAaQAuAGUALgAgAFMAVQBNACgANAAsACAAOQAsACAAMQA0ACwAIAAxADkALAAgADIANAAsACAAMgA5ACwAIAAzADQALAAgADMAOQAsACAANAA0ACwAIAA0ADkALAAgADUANAAsACAANQA5ACwAIAA2ADQALAAgADYAOQAsACAANwA0ACkAIAA9ACAANQA4ADUAXABuACoALwBcAG4AUwBVAE0AXwBBAFAAIAA9ACAATABBAE0AQgBEAEEAKABsAGIAbwB1AG4AZAAsACAAbABlAG4AZwB0AGgALAAgAFsAaQBuAGMAcgBlAG0AZQBuAHQAXQAsACAAWwBtAG8AZABlAF0ALABcAG4AIAAgACAAIABMAEUAVAAoAFwAbgAgACAAIAAgACAAIAAgACAAbQBvAGQAZQAsACAASQBGACgATwBSACgASQBTAE8ATQBJAFQAVABFAEQAKABtAG8AZABlACkALAAgAG0AbwBkAGUAIAA+ACAAMQApACwAIAAwACwAIABtAG8AZABlACkALABcAG4AIAAgACAAIAAgACAAIAAgAGkAbgBjAHIAZQBtAGUAbgB0ACwAIABJAEYAKABJAFMATwBNAEkAVABUAEUARAAoAGkAbgBjAHIAZQBtAGUAbgB0ACkALAAgADEALAAgAGkAbgBjAHIAZQBtAGUAbgB0ACkALABcAG4AIAAgACAAIAAgACAAIAAgAHUAYgBvAHUAbgBkACwAIABsAGIAbwB1AG4AZAAgACsAIAAoAGwAZQBuAGcAdABoACAALQAgADEAKQAgACoAIABpAG4AYwByAGUAbQBlAG4AdAAsAFwAbgAgACAAIAAgACAAIAAgACAAdABvAHQAYQBsACwAIAAoAGwAZQBuAGcAdABoACAALwAgADIAKQAgACoAIAAoACgAMgAgACoAIABsAGIAbwB1AG4AZAApACAAKwAgACgAKABsAGUAbgBnAHQAaAAgAC0AIAAxACkAIAAqACAAaQBuAGMAcgBlAG0AZQBuAHQAKQApACwAXABuACAAIAAgACAAIAAgACAAIABTAFcASQBUAEMASAAoAG0AbwBkAGUALAAgADAALAAgAHQAbwB0AGEAbAAsACAAMQAsACAAdQBiAG8AdQBuAGQALAAgACkAXABuACAAIAAgACAAKQBcAG4AKQA7AFwAbgBcAG4ALwAqACAAQgBSAEEAQwBLAEUAVABTAF8AVABBAFIARwBFAFQAOgBcAG4AXABuAEYAaQBuAGQAcwAgAHQAaABlACAAbgBlAGEAcgBlAHMAdAAgAHYAYQBsAHUAZQBzACAAbABlAHMAcwAtAHQAaABhAG4AIABhAG4AZAAgAGcAcgBlAGEAdABlAHIALQB0AGgAYQBuACAAdABoAGUAIAB0AGEAcgBnAGUAdAAgAHYAYQBsAHUAZQAgAGkAbgAgAGEAIABsAGkAcwB0ACAAbwBmACAAbgB1AG0AYgBlAHIAcwBcAG4ATwB1AHQAcAB1AHQAcwAgAGEAIABzAHAAaQBsAGwAZQBkACAAbABpAHMAdAAgAG8AZgAgAG4AdQBtAGUAcgBpAGMAYQBsACAAdgBhAGwAdQBlAHMAXABuACoALwBcAG4AQgBSAEEAQwBLAEUAVABTAF8AVABBAFIARwBFAFQAIAA9ACAATABBAE0AQgBEAEEAKABUAGUAcwB0AEEAcgByAGEAeQAsACAAVABhAHIAZwBlAHQALAAgAFsAaQBuAGMAbABdACwAIABbAG0AbwBkAGUAXQAsACAAWwBkAGUAYwBwAHIAZQBjAF0ALABcAG4AIAAgACAAIABMAEUAVAAoAFwAbgAgACAAIAAgACAAIAAgACAAZABlAGMAcAByAGUAYwAsACAASQBGACgASQBTAE8ATQBJAFQAVABFAEQAKABkAGUAYwBwAHIAZQBjACkALAAgADMALAAgAGQAZQBjAHAAcgBlAGMAKQAsAFwAbgAgACAAIAAgACAAIAAgACAAbQBvAGQAZQAsACAASQBGACgATwBSACgASQBTAE8ATQBJAFQAVABFAEQAKABtAG8AZABlACkALAAgAG0AbwBkAGUAIAA+ACAAMgApACwAIAAwACwAIABtAG8AZABlACkALABcAG4AIAAgACAAIAAgACAAIAAgAGkAbgBjAGwALAAgAEkARgAoAE8AUgAoAEkAUwBPAE0ASQBUAFQARQBEACgAaQBuAGMAbAApACwAIABpAG4AYwBsACAAPgAgADEAKQAsACAAMAAsACAAaQBuAGMAbAApACwAXABuACAAIAAgACAAIAAgACAAIABsAGUAYQBzAHQALAAgAE0AQQBYACgASQBGACgAVABlAHMAdABBAHIAcgBhAHkAIAA8ACAAVABhAHIAZwBlAHQALAAgAFQAZQBzAHQAQQByAHIAYQB5ACwAIABcACIAXAAiACkAKQAsAFwAbgAgACAAIAAgACAAIAAgACAAbQBvAHMAdAAsACAATQBJAE4AKABJAEYAKABUAGUAcwB0AEEAcgByAGEAeQAgAD4AIABUAGEAcgBnAGUAdAAsACAAVABlAHMAdABBAHIAcgBhAHkALAAgAFwAIgBcACIAKQApACwAXABuACAAIAAgACAAIAAgACAAIABsAGkAcwB0ACwAIABJAEYAKABcAG4AIAAgACAAIAAgACAAIAAgACAAIAAgACAAaQBuAGMAbAAgAD0AIAAwACwAXABuACAAIAAgACAAIAAgACAAIAAgACAAIAAgAFQARQBYAFQASgBPAEkATgAoAFwAIgAgAFwAIgAsACAALAAgAFIATwBVAE4ARAAoAGwAZQBhAHMAdAAsACAAZABlAGMAcAByAGUAYwApACwAIABSAE8AVQBOAEQAKABUAGEAcgBnAGUAdAAsACAAZABlAGMAcAByAGUAYwApACwAIABSAE8AVQBOAEQAKABtAG8AcwB0ACwAIABkAGUAYwBwAHIAZQBjACkAKQAsAFwAbgAgACAAIAAgACAAIAAgACAAIAAgACAAIABUAEUAWABUAEoATwBJAE4AKABcACIAIABcACIALAAgACwAIABSAE8AVQBOAEQAKABsAGUAYQBzAHQALAAgAGQAZQBjAHAAcgBlAGMAKQAsACAAUgBPAFUATgBEACgAbQBvAHMAdAAsACAAZABlAGMAcAByAGUAYwApACkAXABuACAAIAAgACAAIAAgACAAIAApACwAXABuACAAIAAgACAAIAAgACAAIABvAHUAdABwAHUAdAAsACAAUwBXAEkAVABDAEgAKABcAG4AIAAgACAAIAAgACAAIAAgACAAIAAgACAAbQBvAGQAZQAsAFwAbgAgACAAIAAgACAAIAAgACAAIAAgACAAIAAwACwAIABUAE8AQwBPAEwAKABWAEEATABVAEUAKABUAEUAWABUAFMAUABMAEkAVAAoAGwAaQBzAHQALAAgAFwAIgAgAFwAIgApACkAKQAsAFwAbgAgACAAIAAgACAAIAAgACAAIAAgACAAIAAxACwAIABUAE8AUgBPAFcAKABWAEEATABVAEUAKABUAEUAWABUAFMAUABMAEkAVAAoAGwAaQBzAHQALAAgAFwAIgAgAFwAIgApACkAKQAsAFwAbgAgACAAIAAgACAAIAAgACAAIAAgACAAIAAyACwAIABDAE8ATgBDAEEAVAAoAFwAbgAgACAAIAAgACAAIAAgACAAIAAgACAAIAAgACAAIAAgAFwAIgAoAFwAIgAsAFwAbgAgACAAIAAgACAAIAAgACAAIAAgACAAIAAgACAAIAAgAFQARQBYAFQASgBPAEkATgAoAFwAIgAgADoAIABcACIALAAgACwAIABGAEkAWABFAEQAKABsAGUAYQBzAHQALAAgAGQAZQBjAHAAcgBlAGMAKQAsACAARgBJAFgARQBEACgAVABhAHIAZwBlAHQALAAgAGQAZQBjAHAAcgBlAGMAKQAsACAARgBJAFgARQBEACgAbQBvAHMAdAAsACAAMwApACkALABcAG4AIAAgACAAIAAgACAAIAAgACAAIAAgACAAIAAgACAAIABcACIAKQBcACIAXABuACAAIAAgACAAIAAgACAAIAAgACAAIAAgACkAXABuACAAIAAgACAAIAAgACAAIAApACwAXABuACAAIAAgACAAIAAgACAAIABvAHUAdABwAHUAdABcAG4AIAAgACAAIAApAFwAbgApADsAXABuAFwAbgAvACoAIABCAFIAQQBDAEsARQBUAFMAXwBBAFIAUgBBAFkAOgBcAG4AXABuAEYAaQBuAGQAcwAgAGkAbgAgAHQAaABlACAAUgBlAHQAdQByAG4AQQByAHIAYQB5ACAAdABoAGUAIABuAGUAYQByAGUAcwB0ACAAdgBhAGwAdQBlAHMAIABsAGUAcwBzAC0AdABoAGEAbgAgAGEAbgBkACAAZwByAGUAYQB0AGUAcgAtAHQAaABhAG4AIAB0AGgAZQAgAGEAdgBlAHIAYQBnAGUAIAB2AGEAbAB1AGUAIABpAG4AIAB0AGgAZQAgAEwAbwBvAGsAdQBwAEEAcgByAGEAeQAgAG8AZgAgAG4AdQBtAGIAZQByAHMAXABuAEUALgAgAGcALgAgAGYAaQBuAGQAcwAgAHQAaABlACAAYQB2AGUAcgBhAGcAZQAgAHYAYQBsAHUAZQAgAG8AZgAgAEwAbwBvAGsAdQBwAEEAcgByAGEAeQAsACAAYQBuAGQAIAB0AGgAZQBuACAAZgBpAG4AZABzACAAdABoAGUAIABuAGUAYQByAGUAcwB0ACAAdgBhAGwAdQBlACAAbABlAHMAcwAtAHQAaABhAG4AIAB0AGgAYQB0ACAAbgB1AG0AYgBlAHIAIABhAG4AZAAgAHQAaABlACAAbgBlAGEAcgBlAHMAdABcAG4AIAB2AGEAbAB1AGUAIABnAHIAZQBhAHQAZQByAC0AdABoAGEAbgAgAHQAaABhAHQAIABuAHUAbQBiAGUAcgAgAGkAbgAgAHQAaABlACAAUgBlAHQAdQByAG4AQQByAHIAYQB5AFwAbgBUAGgAZQAgAFAAcgBlAGMAaQBzAGkAbwBuACAAcABhAHIAYQBtAGUAdABlAHIAIABzAHAAZQBjAGkAZgBpAGUAcwAgAHQAaABlACAAbgB1AG0AYgBlAHIAIABvAGYAIABkAGUAYwBpAG0AYQBsAHMAIAByAGUAdAB1AHIAbgBlAGQAOwAgAGQAZQBmAGEAdQBsAHQAcwAgAHQAbwAgADMAIABpAGYAIABvAG0AaQB0AHQAZQBkAFwAbgBPAHUAdABwAHUAdABzACAAYQAgAHMAdAByAGkAbgBnACAAaQBuACAAdABoAGUAIABmAG8AcgBtAGEAdAAgACgAbABiAG8AdQBuAGQALAAgAGEAdgBlAHIAYQBnAGUALAAgAHUAYgBvAHUAbgBkACkAOwAgAGUALgAgAGcALgAgACgAMAAuADgANgAxACwAIAAwAC4ANAA4ADgALAAgADAALgAyADAAMwApAFwAbgAqAC8AXABuAEIAUgBBAEMASwBFAFQAUwBfAEEAUgBSAEEAWQAgAD0AIABMAEEATQBCAEQAQQAoAEwAbwBvAGsAdQBwAEEAcgByAGEAeQAsACAAUgBlAHQAdQByAG4AQQByAHIAYQB5ACwAIABbAE0AbwBkAGUAXQAsAFwAbgAgACAAIAAgAEwARQBUACgAXABuACAAIAAgACAAIAAgACAAIABtAG8AZABlACwAIABJAEYAKABPAFIAKABJAFMATwBNAEkAVABUAEUARAAoAE0AbwBkAGUAKQAsACAATQBvAGQAZQAgAD4AIAAyACkALAAgADAALAAgAE0AbwBkAGUAKQAsAFwAbgAgACAAIAAgACAAIAAgACAAQQB2AGcALAAgAEEAVgBFAFIAQQBHAEUAKABMAG8AbwBrAHUAcABBAHIAcgBhAHkAKQAsAFwAbgAgACAAIAAgACAAIAAgACAATABlAGEAcwB0ACwAIABNAEEAWAAoAEYASQBMAFQARQBSACgATABvAG8AawB1AHAAQQByAHIAYQB5ACwAIABMAG8AbwBrAHUAcABBAHIAcgBhAHkAIAA8ACAAQQB2AGcAKQApACwAXABuACAAIAAgACAAIAAgACAAIABNAG8AcwB0ACwAIABNAEkATgAoAEYASQBMAFQARQBSACgATABvAG8AawB1AHAAQQByAHIAYQB5ACwAIABMAG8AbwBrAHUAcABBAHIAcgBhAHkAIAA+ACAAQQB2AGcAKQApACwAXABuACAAIAAgACAAIAAgACAAIABMAGUAYQBzAHQAXwBpAG4AZABlAHgALAAgAFgATABPAE8ASwBVAFAAKABMAGUAYQBzAHQALAAgAEwAbwBvAGsAdQBwAEEAcgByAGEAeQAsACAAUgBlAHQAdQByAG4AQQByAHIAYQB5ACkALABcAG4AIAAgACAAIAAgACAAIAAgAE0AbwBzAHQAXwBpAG4AZABlAHgALAAgAFgATABPAE8ASwBVAFAAKABNAG8AcwB0ACwAIABMAG8AbwBrAHUAcABBAHIAcgBhAHkALAAgAFIAZQB0AHUAcgBuAEEAcgByAGEAeQApACwAXABuACAAIAAgACAAIAAgACAAIABsAGkAcwB0ACwAIABUAEUAWABUAEoATwBJAE4AKABcACIAIABcACIALAAgACwAIABMAGUAYQBzAHQAXwBpAG4AZABlAHgALAAgAEEAdgBnACwAIABNAG8AcwB0AF8AaQBuAGQAZQB4ACkALABcAG4AIAAgACAAIAAgACAAIAAgAG8AdQB0AHAAdQB0ACwAIABTAFcASQBUAEMASAAoAFwAbgAgACAAIAAgACAAIAAgACAAIAAgACAAIABtAG8AZABlACwAXABuACAAIAAgACAAIAAgACAAIAAgACAAIAAgADAALAAgAFQATwBDAE8ATAAoAFQARQBYAFQAUwBQAEwASQBUACgAbABpAHMAdAAsACAAXAAiACAAXAAiACkAKQAsAFwAbgAgACAAIAAgACAAIAAgACAAIAAgACAAIAAxACwAIABUAE8AUgBPAFcAKABUAEUAWABUAFMAUABMAEkAVAAoAGwAaQBzAHQALAAgAFwAIgAgAFwAIgApACkALABcAG4AIAAgACAAIAAgACAAIAAgACAAIAAgACAAMgAsACAAQwBPAE4AQwBBAFQAKABcACIAKABcACIALAAgAFQARQBYAFQASgBPAEkATgAoAFwAIgAgADoAIABcACIALAAgACwAIABGAEkAWABFAEQAKABMAGUAYQBzAHQALAAgADMAKQAsACAARgBJAFgARQBEACgAQQB2AGcALAAgADMAKQAsACAARgBJAFgARQBEACgATQBvAHMAdAAsACAAMwApACkALAAgAFwAIgApAFwAIgApAFwAbgAgACAAIAAgACAAIAAgACAAKQAsAFwAbgAgACAAIAAgACAAIAAgACAAbwB1AHQAcAB1AHQAXABuACAAIAAgACAAKQBcAG4AKQA7AFwAbgBcAG4ALwAqACAARgBPAFIATQBBAFQAXwBBAFMAXwBMAEkAUwBUAFwAbgAqAC8AXABuAEYATwBSAE0AQQBUAF8AQQBTAF8ATABJAFMAVAAgAD0AIABMAEEATQBCAEQAQQAoAHIAYQBuAGcAZQAsACAAWwBmAG8AcgBtAGEAdABdACwAIABbAHMAdAB5AGwAZQBdACwAIABbAHMAbwByAHQAXQAsACAAWwBtAG8AZABlAF0ALABcAG4AIAAgACAAIABMAEUAVAAoAFwAbgAgACAAIAAgACAAIAAgACAAcwB0AHkAbABlACwAIABJAEYAKABPAFIAKABJAFMATwBNAEkAVABUAEUARAAoAHMAdAB5AGwAZQApACwAIABzAHQAeQBsAGUAIAA+ACAAMQApACwAIAAwACwAIABzAHQAeQBsAGUAKQAsAFwAbgAgACAAIAAgACAAIAAgACAAZgBvAHIAbQBhAHQALAAgAEkARgAoAE8AUgAoAEkAUwBPAE0ASQBUAFQARQBEACgAZgBvAHIAbQBhAHQAKQAsACAAZgBvAHIAbQBhAHQAIAA+ACAAMQApACwAIAAwACwAIABmAG8AcgBtAGEAdAApACwAXABuACAAIAAgACAAIAAgACAAIABtAG8AZABlACwAIABJAEYAKABPAFIAKABJAFMATwBNAEkAVABUAEUARAAoAG0AbwBkAGUAKQAsACAAbQBvAGQAZQAgAD4AIAAxACkALAAgADAALAAgAG0AbwBkAGUAKQAsAFwAbgAgACAAIAAgACAAIAAgACAAcwBvAHIAdAAsACAASQBGACgATwBSACgASQBTAE8ATQBJAFQAVABFAEQAKABtAG8AZABlACkALAAgAHMAbwByAHQAIAA+ACAAMQApACwAIAAwACwAIABzAG8AcgB0ACkALABcAG4AIAAgACAAIAAgACAAIAAgAHMAZQBwAGEAcgBhAHQAbwByACwAIABJAEYAKABmAG8AcgBtAGEAdAAgAD0AIAAwACwAIABcACIALAAgAFwAIgAsACAAXAAiADsAIABcACIAKQAsAFwAbgAgACAAIAAgACAAIAAgACAAbABpAHMAdAAsACAAUwBXAEkAVABDAEgAKABtAG8AZABlACwAIAAwACwAIABUAE8AQwBPAEwAKAByAGEAbgBnAGUALAAgADMAKQAsACAAMQAsACAAVQBOAEkAUQBVAEUAKABUAE8AQwBPAEwAKAByAGEAbgBnAGUALAAgADMAKQApACkALABcAG4AIAAgACAAIAAgACAAIAAgAHMAbwByAHQAZQBkACwAIABTAFcASQBUAEMASAAoAHMAbwByAHQALAAgADAALAAgAGwAaQBzAHQALAAgADEALAAgAFMATwBSAFQAKABsAGkAcwB0ACkAKQAsAFwAbgAgACAAIAAgACAAIAAgACAAbwB1AHQAcAB1AHQALAAgAFMAVwBJAFQAQwBIACgAXABuACAAIAAgACAAIAAgACAAIAAgACAAIAAgAHMAdAB5AGwAZQAsAFwAbgAgACAAIAAgACAAIAAgACAAIAAgACAAIAAwACwAIABcACIAewBcACIAIAAmACAAVABFAFgAVABKAE8ASQBOACgAcwBlAHAAYQByAGEAdABvAHIALAAgACwAIABzAG8AcgB0AGUAZAApACAAJgAgAFwAIgB9AFwAIgAsAFwAbgAgACAAIAAgACAAIAAgACAAIAAgACAAIAAxACwAIABUAEUAWABUAEoATwBJAE4AKABzAGUAcABhAHIAYQB0AG8AcgAsACAALAAgAHMAbwByAHQAZQBkACkAXABuACAAIAAgACAAIAAgACAAIAApACwAXABuACAAIAAgACAAIAAgACAAIABvAHUAdABwAHUAdABcAG4AIAAgACAAIAApAFwAbgApADsAXABuAFwAbgBMAEkAUwBUAF8AVwBFAEkARwBIAFQAUwAgAD0AIABMAEEATQBCAEQAQQAoAHIAYQBuAGcAZQAsAFwAbgAgACAAIAAgAEwARQBUACgAXABuACAAIAAgACAAIAAgACAAIABoAGUAYQBkAGUAcgBzACwAIAB7AFwAIgBWAGEAbAB1AGUAcwBcACIAOwAgAFwAIgBXAGUAaQBnAGgAdABzAFwAIgA7ACAAXAAiAFAAcgBvAGQAdQBjAHQAcwBcACIAfQAsAFwAbgAgACAAIAAgACAAIAAgACAAdQBfAHIAYQBuAGcAZQAsACAAUwBPAFIAVAAoAFUATgBJAFEAVQBFACgAcgBhAG4AZwBlACkAKQAsAFwAbgAgACAAIAAgACAAIAAgACAAdwBlAGkAZwBoAHQAcwAsACAAQgBZAFIATwBXACgAdQBfAHIAYQBuAGcAZQAsACAATABBAE0AQgBEAEEAKABhACwAIABDAE8AVQBOAFQASQBGACgAcgBhAG4AZwBlACwAIABhACkAKQApACwAXABuACAAIAAgACAAIAAgACAAIABwAHIAbwBkAHUAYwB0AHMALAAgAHUAXwByAGEAbgBnAGUAIAAqACAAdwBlAGkAZwBoAHQAcwAsAFwAbgAgACAAIAAgACAAIAAgACAAYwBvAGwAXwAxACwAIABWAFMAVABBAEMASwAoAEkATgBEAEUAWAAoAGgAZQBhAGQAZQByAHMALAAgADEAKQAsACAAdQBfAHIAYQBuAGcAZQApACwAXABuACAAIAAgACAAIAAgACAAIABjAG8AbABfADIALAAgAFYAUwBUAEEAQwBLACgASQBOAEQARQBYACgAaABlAGEAZABlAHIAcwAsACAAMgApACwAIAB3AGUAaQBnAGgAdABzACkALABcAG4AIAAgACAAIAAgACAAIAAgAGMAbwBsAF8AMwAsACAAVgBTAFQAQQBDAEsAKABJAE4ARABFAFgAKABoAGUAYQBkAGUAcgBzACwAIAAzACkALAAgAHAAcgBvAGQAdQBjAHQAcwApACwAXABuACAAIAAgACAAIAAgACAAIABDAEgATwBPAFMARQAoAHsAMQAsACAAMgAsACAAMwB9ACwAIABjAG8AbABfADEALAAgAGMAbwBsAF8AMgAsACAAYwBvAGwAXwAzACkAXABuACAAIAAgACAAKQBcAG4AKQA7AFwAbgBcAG4ALwAqACAASQBOAFQATQBBAE4AVAA6AFwAbgBTAHAAbABpAHQAcwAgAGEAIABuAHUAbQBiAGUAcgAgAGkAbgB0AG8AIABpAHQAcwAgAGkAbgB0AGUAZwBlAHIAIABhAG4AZAAgAGQAZQBjAGkAbQBhAGwAIABwAGEAcgB0AHMAXABuAGkAZgAgAFsAcwBpAGcAbgBdACAAPQAgADEAIABwAHIAZQBzAGUAcgB2AGUAcwAgAHQAaABlACAAcwBpAGcAbgAgAG8AZgAgAHQAaABlACAAaQBuAHAAdQB0ACAAaQBuAFwAbgAgACAAIAAgAGIAbwB0AGgAIAB0AGgAZQAgAGkAbgB0AGUAcgBnAGUAcgAgAGEAbgBkACAAZABlAGMAaQBtAGEAbAAgAHAAYQByAHQAcwBcAG4AKgAvAFwAbgBJAE4AVABNAEEATgBUACAAPQAgAEwAQQBNAEIARABBACgAaQBuAHAAdQB0ACwAIABbAG0AbwBkAGUAXQAsACAAWwBzAGkAZwBuAF0ALAAgAFsAZABlAGMAaQBtAGEAbABzAF0ALABcAG4AIAAgACAAIABMAEUAVAAoAFwAbgAgACAAIAAgACAAIAAgACAAbQBvAGQAZQAsACAASQBGACgATwBSACgASQBTAE8ATQBJAFQAVABFAEQAKABtAG8AZABlACkALAAgAG0AbwBkAGUAIAA+ACAAMQApACwAIAAwACwAIABtAG8AZABlACkALABcAG4AIAAgACAAIAAgACAAIAAgAHMAaQBnAG4ALAAgAEkARgAoAE8AUgAoAEkAUwBPAE0ASQBUAFQARQBEACgAcwBpAGcAbgApACwAIABzAGkAZwBuACAAPgAgADEAKQAsACAAMAAsACAAcwBpAGcAbgApACwAXABuACAAIAAgACAAIAAgACAAIABkAGUAYwBpAG0AYQBsAHMALAAgAEkARgAoAE8AUgAoAEkAUwBPAE0ASQBUAFQARQBEACgAZABlAGMAaQBtAGEAbABzACkALAAgAGQAZQBjAGkAbQBhAGwAcwAgAD0AIAAwACkALAAgADMALAAgAGQAZQBjAGkAbQBhAGwAcwApACwAXABuACAAIAAgACAAIAAgACAAIABpAG4AdABfAHAAYQByAHQALAAgAFEAVQBPAFQASQBFAE4AVAAoAGkAbgBwAHUAdAAsACAAMQApACwAXABuACAAIAAgACAAIAAgACAAIABkAGUAYwBfAHAAYQByAHQALAAgAFMAVwBJAFQAQwBIACgAXABuACAAIAAgACAAIAAgACAAIAAgACAAIAAgAHMAaQBnAG4ALABcAG4AIAAgACAAIAAgACAAIAAgACAAIAAgACAAMAAsACAAQQBCAFMAKABSAE8AVQBOAEQAKABpAG4AcAB1AHQAIAAtACAAVABSAFUATgBDACgAaQBuAHAAdQB0ACkALAAgAGQAZQBjAGkAbQBhAGwAcwApACkALABcAG4AIAAgACAAIAAgACAAIAAgACAAIAAgACAAMQAsACAAUgBPAFUATgBEACgAaQBuAHAAdQB0ACAALQAgAFQAUgBVAE4AQwAoAGkAbgBwAHUAdAApACwAIABkAGUAYwBpAG0AYQBsAHMAKQAsAFwAbgAgACAAIAAgACAAIAAgACAAIAAgACAAIABcAG4AIAAgACAAIAAgACAAIAAgACkALABcAG4AIAAgACAAIAAgACAAIAAgAGwAaQBzAHQALAAgAFQARQBYAFQASgBPAEkATgAoAFwAIgAgAFwAIgAsACAALAAgAGkAbgB0AF8AcABhAHIAdAAsACAAZABlAGMAXwBwAGEAcgB0ACkALABcAG4AIAAgACAAIAAgACAAIAAgAG8AdQB0AHAAdQB0ACwAIABTAFcASQBUAEMASAAoAFwAbgAgACAAIAAgACAAIAAgACAAIAAgACAAIABtAG8AZABlACwAXABuACAAIAAgACAAIAAgACAAIAAgACAAIAAgADAALAAgAFQATwBSAE8AVwAoAFYAQQBMAFUARQAoAFQARQBYAFQAUwBQAEwASQBUACgAbABpAHMAdAAsACAAXAAiACAAXAAiACkAKQApACwAXABuACAAIAAgACAAIAAgACAAIAAgACAAIAAgADEALAAgAFQATwBDAE8ATAAoAFYAQQBMAFUARQAoAFQARQBYAFQAUwBQAEwASQBUACgAbABpAHMAdAAsACAAXAAiACAAXAAiACkAKQApAFwAbgAgACAAIAAgACAAIAAgACAAKQAsAFwAbgAgACAAIAAgACAAIAAgACAAbwB1AHQAcAB1AHQAXABuACAAIAAgACAAKQBcAG4AKQA7AFwAbgBcAG4ALwAqACAATQBBAE4AVAA6AFwAbgBcAG4AUgBlAHQAdQByAG4AcwAgAHQAaABlACAAZABlAGMAaQBtAGEAbAAgAGYAcgBhAGMAdABpAG8AbgAgAG8AZgAgAHQAaABlACAATABvAG8AawB1AHAAQQByAHIAYQB5AFwAbgBpAGYAIABbAHMAaQBnAG4AXQAgAD0AIAAxACAAcAByAGUAcwBlAHIAdgBlAHMAIAB0AGgAZQAgAHMAaQBnAG4AIABvAGYAIAB0AGgAZQAgAGkAbgBwAHUAdAAgAHQAaABlACAAcgBlAHMAdQBsAHQAXABuAFwAbgBFAC4AZwAuACAATQBBAE4AVAAoADMALgAxADQAMQA1ACkAIAA9ACAAMAAuADEANAAxADUAOwAgAE0AQQBOAFQAKAAtADMALgAxADQAMQA1ACwAMQApACAAPQAgAC0AMAAuADEANAAxADUAXABuACoALwBcAG4ARgBSAEEAQwAgAD0AIABMAEEATQBCAEQAQQAoAGkAbgBwAHUAdAAsACAAWwBwAHIAZQBjAGkAcwBpAG8AbgBdACwAIABbAHMAaQBnAG4AXQAsAFwAbgAgACAAIAAgAEwARQBUACgAXABuACAAIAAgACAAIAAgACAAIABzAGkAZwBuACwAIABJAEYAKABPAFIAKABJAFMATwBNAEkAVABUAEUARAAoAHMAaQBnAG4AKQAsACAAcwBpAGcAbgAgAD4AIAAxACkALAAgADAALAAgAHMAaQBnAG4AKQAsAFwAbgAgACAAIAAgACAAIAAgACAAcAByAGUAYwBpAHMAaQBvAG4ALAAgAEkARgAoAEkAUwBPAE0ASQBUAFQARQBEACgAcAByAGUAYwBpAHMAaQBvAG4AKQAsACAAMwAsACAAcAByAGUAYwBpAHMAaQBvAG4AKQAsAFwAbgAgACAAIAAgACAAIAAgACAAZABlAGMAXwBwAGEAcgB0ACwAIABTAFcASQBUAEMASAAoAFwAbgAgACAAIAAgACAAIAAgACAAIAAgACAAIABzAGkAZwBuACwAXABuACAAIAAgACAAIAAgACAAIAAgACAAIAAgADAALAAgAEEAQgBTACgAUgBPAFUATgBEACgAaQBuAHAAdQB0ACAALQAgAFQAUgBVAE4AQwAoAGkAbgBwAHUAdAApACwAIABwAHIAZQBjAGkAcwBpAG8AbgApACkALABcAG4AIAAgACAAIAAgACAAIAAgACAAIAAgACAAMQAsACAAUgBPAFUATgBEACgAaQBuAHAAdQB0ACAALQAgAFQAUgBVAE4AQwAoAGkAbgBwAHUAdAApACwAIABwAHIAZQBjAGkAcwBpAG8AbgApACwAXABuACAAIAAgACAAIAAgACAAIAAgACAAIAAgAFwAbgAgACAAIAAgACAAIAAgACAAKQAsAFwAbgAgACAAIAAgACAAIAAgACAAZABlAGMAXwBwAGEAcgB0AFwAbgAgACAAIAAgACkAXABuACkAOwBcAG4AXABuAC8AKgAgAFQARQBNAFAAXwBDAEYAOgBcAG4AXABuAEMAbwBuAHYAZQByAHQAcwAgAEMAZQBsAGMAaQB1AHMAIAB0AGUAbQBwAGUAcgBhAHQAdQByAGUAIAB0AG8AIABGAGEAaAByAGUAbgBoAGUAaQB0ACAAdABlAG0AcABlAHIAYQB0AHUAcgBlAFwAbgAqAC8AXABuAFQARQBNAFAAXwBDAEYAIAA9ACAATABBAE0AQgBEAEEAKABDACwAIABbAHAAcgBlAGMAaQBzAGkAbwBuAF0ALABcAG4AIAAgACAAIABMAEUAVAAoAFwAbgAgACAAIAAgACAAIAAgACAAcAByAGUAYwBpAHMAaQBvAG4ALAAgAEkARgAoACgASQBTAE8ATQBJAFQAVABFAEQAKABwAHIAZQBjAGkAcwBpAG8AbgApACkAIAArACAAKABwAHIAZQBjAGkAcwBpAG8AbgAgADwAIAAwACkALAAgADMALAAgAHAAcgBlAGMAaQBzAGkAbwBuACkALABcAG4AIAAgACAAIAAgACAAIAAgAFIATwBVAE4ARAAoAEMAIAAqACAAKAA5ACAALwAgADUAKQAgACsAIAAzADIALAAgAHAAcgBlAGMAaQBzAGkAbwBuACkAXABuACAAIAAgACAAKQBcAG4AKQA7AFwAbgBcAG4ALwAqACAAVABFAE0AUABfAEYAQwA6AFwAbgBcAG4AQwBvAG4AdgBlAHIAdABzACAARgBhAGgAcgBlAG4AaABlAGkAdAAgAHQAZQBtAHAAZQByAGEAdAB1AHIAZQAgAHQAbwAgAEMAZQBsAHMAaQB1AHMAIAB0AGUAbQBwAGUAcgBhAHQAdQByAGUAXABuACoALwBcAG4AVABFAE0AUABfAEYAQwAgAD0AIABMAEEATQBCAEQAQQAoAEYALAAgAFsAcAByAGUAYwBpAHMAaQBvAG4AXQAsAFwAbgAgACAAIAAgAEwARQBUACgAXABuACAAIAAgACAAIAAgACAAIABwAHIAZQBjAGkAcwBpAG8AbgAsACAASQBGACgAKABJAFMATwBNAEkAVABUAEUARAAoAHAAcgBlAGMAaQBzAGkAbwBuACkAKQAgACsAIAAoAHAAcgBlAGMAaQBzAGkAbwBuACAAPAAgADAAKQAsACAAMwAsACAAcAByAGUAYwBpAHMAaQBvAG4AKQAsAFwAbgAgACAAIAAgACAAIAAgACAAUgBPAFUATgBEACgAKABGACAALQAgADMAMgApACAAKgAgACgANQAgAC8AIAA5ACkALAAgAHAAcgBlAGMAaQBzAGkAbwBuACkAXABuACAAIAAgACAAKQBcAG4AKQA7AFwAbgBcAG4ALwAqACAASABBAFMAQwBBAFAAOgBcAG4AXABuAFIAZQB0AHUAcgBuAHMAIABUAFIAVQBFACAAaQBmACAAdABoAGUAIABMAG8AbwBrAHUAcABBAHIAcgBhAHkAIAB3AG8AcgBkACAAYwBvAG4AdABhAGkAbgBzACAAYQAgAGMAYQBwAGkAdABhAGwAIABsAGUAdAB0AGUAcgBcAG4AIAAgACAAIABhAG4AeQB3AGgAZQByAGUAIABvAHQAaABlAHIAIAB0AGgAYQBuACAAdABoAGUAIABmAGkAcgBzAHQAIABsAGUAdAB0AGUAcgBcAG4AIAAgACAAIABFAEwAUwBFACwAIAByAGUAdAB1AHIAbgBzACAARgBBAEwAUwBFAFwAbgAqAC8AXABuAEgAQQBTAEMAQQBQACAAPQAgAEwAQQBNAEIARABBACgAdwBvAHIAZAAsAFwAbgAgACAAIAAgAEwARQBUACgAXABuACAAIAAgACAAIAAgACAAIABjAG8AdQBuAHQALAAgAEwARQBOACgAdwBvAHIAZAApACwAXABuACAAIAAgACAAIAAgACAAIABzAHUAYgB3AG8AcgBkACwAIABSAEkARwBIAFQAKAB3AG8AcgBkACwAIABjAG8AdQBuAHQAIAAtACAAMQApACwAXABuACAAIAAgACAAIAAgACAAIABsAGUAdAB0AGUAcgAsACAATABFAEYAVAAoAHMAdQBiAHcAbwByAGQALAAgADEAKQAsAFwAbgAgACAAIAAgACAAIAAgACAAdABlAHMAdAAsACAAQQBOAEQAKAAoAEMATwBEAEUAKABsAGUAdAB0AGUAcgApACAAPgA9ACAANgA1ACkALAAgACgAQwBPAEQARQAoAGwAZQB0AHQAZQByACkAIAA8AD0AIAA5ADEAKQApACwAXABuACAAIAAgACAAIAAgACAAIABJAEYAKAAoACgAdABlAHMAdAAgAD0AIABGAEEATABTAEUAKQAgACoAIAAoAEwARQBOACgAcwB1AGIAdwBvAHIAZAApACAALQAgADEAIAA+ACAAMAApACkALAAgAEgAQQBTAEMAQQBQACgAcwB1AGIAdwBvAHIAZAApACwAIAB0AGUAcwB0ACkAXABuACAAIAAgACAAKQBcAG4AKQA7AFwAbgBcAG4ALwAqACAATQBFAFQAQQBMAEwASQBDAF8ATQBFAEEATgA6AFwAbgBcAG4AUgBlAHQAdQByAG4AcwAgAHQAaABlACAATQBlAHQAYQBsAGwAaQBjAE0AZQBhAG4AIABmAG8AcgAgAHQAaABlACAAZwBpAHYAZQBuACAAaQBuAHAAdQB0AFwAbgBJAGYAIAB0AGgAZQAgAGkAbgBwAHUAdAAgAHYAYQBsAHUAZQAgAGkAcwBuACcAdAAgAGEAbgAgAGkAbgB0AGUAZwBlAHIALABcAG4AIAAgACAAIABpAHQAIABpAHMAIAB0AHIAdQBuAGMAYQB0AGUAZAAgAHQAbwAgAGkAdABzACAAaQBuAHQAZQBnAGUAcgAgAHYAYQBsAHUAZQBcAG4AKgAvAFwAbgBNAEUAVABBAEwATABJAEMAXwBNAEUAQQBOACAAPQAgAEwAQQBNAEIARABBACgAaQBuAHAAdQB0ACwAIABbAHQAeQBwAGUAXQAsACAAWwBwAHIAZQBjAGkAcwBpAG8AbgBdACwAXABuACAAIAAgACAATABFAFQAKABcAG4AIAAgACAAIAAgACAAIAAgAHQAeQBwAGUALAAgAEkARgAoACgASQBTAE8ATQBJAFQAVABFAEQAKAB0AHkAcABlACkAIAArACAAKAB0AHkAcABlACAAPAAgADAAKQAgACsAIAAoAHQAeQBwAGUAIAA+ACAAMQApACkALAAgADAALAAgAHQAeQBwAGUAKQAsAFwAbgAgACAAIAAgACAAIAAgACAAcAByAGUAYwBpAHMAaQBvAG4ALAAgAEkARgAoAEkAUwBPAE0ASQBUAFQARQBEACgAcAByAGUAYwBpAHMAaQBvAG4AKQAsACAAMwAsACAAcAByAGUAYwBpAHMAaQBvAG4AKQAsAFwAbgAgACAAIAAgACAAIAAgACAAcgBlAHQAdQByAG4ALAAgAFMAUQBSAFQAKAAxACAAKwAgACgAKABUAFIAVQBOAEMAKABpAG4AcAB1AHQAKQAgAF4AIAAyACkAIAAvACAANAApACkAIAArACAAKABUAFIAVQBOAEMAKABpAG4AcAB1AHQAKQAgAC8AIAAyACkALABcAG4AIAAgACAAIAAgACAAIAAgAG8AdQB0AHAAdQB0ACwAIABTAFcASQBUAEMASAAoAHQAeQBwAGUALAAgADAALAAgAHIAZQB0AHUAcgBuACwAIAAxACwAIAAxACAALwAgAHIAZQB0AHUAcgBuACkALABcAG4AIAAgACAAIAAgACAAIAAgAG8AdQB0AHAAdQB0AFwAbgAgACAAIAAgACkAXABuACkAOwBcAG4AXABuAEYATwBPAFQASQBOAEMASAAgAD0AIABMAEEATQBCAEQAQQAoAGkAbgBwAHUAdAAsACAAWwBwAHIAZQBjAGkAcwBpAG8AbgBdACwAXABuACAAIAAgACAATABFAFQAKABcAG4AIAAgACAAIAAgACAAIAAgAHAAcgBlAGMAaQBzAGkAbwBuACwAIABJAEYAKABJAFMATwBNAEkAVABUAEUARAAoAHAAcgBlAGMAaQBzAGkAbwBuACkALAAgADMALAAgAHAAcgBlAGMAaQBzAGkAbwBuACkALABcAG4AIAAgACAAIAAgACAAIAAgAGYAZQBlAHQALAAgAFEAVQBPAFQASQBFAE4AVAAoAGkAbgBwAHUAdAAsACAAMQApACwAXABuACAAIAAgACAAIAAgACAAIABtAGEAbgB0ACwAIABNAE8ARAAoAGkAbgBwAHUAdAAsACAAMQApACwAXABuACAAIAAgACAAIAAgACAAIABkAGUAYwBpAG0AYQBsAF8AaQBuAGMAaAAsACAAUgBPAFUATgBEACgAbQBhAG4AdAAgACoAIAAxADIALAAgAHAAcgBlAGMAaQBzAGkAbwBuACkALABcAG4AIAAgACAAIAAgACAAIAAgAGYAZQBlAHQAIAAmACAAQwBIAEEAUgAoADMAOQApACAAJgAgAEMASABBAFIAKAAzADIAKQAgACYAIABkAGUAYwBpAG0AYQBsAF8AaQBuAGMAaAAgACYAIABDAEgAQQBSACgAMwA0ACkAXABuACAAIAAgACAAKQBcAG4AKQA7AFwAbgBcAG4ARgBPAE8AVABfAEkATgBDAEgAIAA9ACAATABBAE0AQgBEAEEAKABpAG4AcAB1AHQALAAgAFsAcwB0AHkAbABlAF0ALAAgAFsAZABlAG4AbwBtAF0ALAAgAFsAcAByAGUAYwBpAHMAaQBvAG4AXQAsAFwAbgAgACAAIAAgAEwARQBUACgAXABuACAAIAAgACAAIAAgACAAIABzAHQAeQBsAGUALAAgAEkARgAoACgASQBTAE8ATQBJAFQAVABFAEQAKABzAHQAeQBsAGUAKQApACAAKgAgACgAcwB0AHkAbABlACAAPgAgADEAKQAsACAAMAAsACAAcwB0AHkAbABlACkALABcAG4AIAAgACAAIAAgACAAIAAgAGQAZQBuAG8AbQAsACAASQBGACgASQBTAE8ATQBJAFQAVABFAEQAKABkAGUAbgBvAG0AKQAsACAAMQA2ACwAIABUAFIAVQBOAEMAKABkAGUAbgBvAG0AKQApACwAXABuACAAIAAgACAAIAAgACAAIABwAHIAZQBjAGkAcwBpAG8AbgAsACAASQBGACgASQBTAE8ATQBJAFQAVABFAEQAKABwAHIAZQBjAGkAcwBpAG8AbgApACwAIAAzACwAIABwAHIAZQBjAGkAcwBpAG8AbgApACwAXABuACAAIAAgACAAIAAgACAAIABmAGUAZQB0ACwAIABRAFUATwBUAEkARQBOAFQAKABpAG4AcAB1AHQALAAgADEAKQAsAFwAbgAgACAAIAAgACAAIAAgACAAZgBlAGUAdABfAG0AYQBuAHQALAAgAE0ATwBEACgAaQBuAHAAdQB0ACwAIAAxACkALABcAG4AIAAgACAAIAAgACAAIAAgAGQAZQBjAGkAbQBhAGwAXwBpAG4AYwBoACwAIABSAE8AVQBOAEQAKABmAGUAZQB0AF8AbQBhAG4AdAAgACoAIAAxADIALAAgAHAAcgBlAGMAaQBzAGkAbwBuACkALABcAG4AIAAgACAAIAAgACAAIAAgAGkAbgBjAGgAXwBpAG4AdAAsACAAVABSAFUATgBDACgAZABlAGMAaQBtAGEAbABfAGkAbgBjAGgAKQAsAFwAbgAgACAAIAAgACAAIAAgACAAaQBuAGMAaABfAGQAZQBjACwAIABkAGUAYwBpAG0AYQBsAF8AaQBuAGMAaAAgAC0AIABpAG4AYwBoAF8AaQBuAHQALABcAG4AIAAgACAAIAAgACAAIAAgAGkAbgBjAGgAXwBuAHUAbQBlAHIALAAgAFQAUgBVAE4AQwAoAGkAbgBjAGgAXwBkAGUAYw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kAbgB0AF8AaQBuAGMAaAAsACAASQBGACgAaQBuAGMAaABfAGkAbgB0ACAAPQAgADAALAAgAFwAIgBcACIALAAgAGkAbgBjAGgAXwBpAG4AdAApACwAXABuACAAIAAgACAAIAAgACAAIABjAG8AbQBiAG8ALAAgAEkARgBTACgAXABuACAAIAAgACAAIAAgACAAIAAgACAAIAAgAEEATgBEACgAaQBuAHQAXwBpAG4AYwBoACAAPQAgAFwAIgBcACIALAAgAGYAcgBhAGMAXwBpAG4AYwBoACAAPQAgAFwAIgBcACIAKQAsAFwAbgAgACAAIAAgACAAIAAgACAAIAAgACAAIABmAGUAZQB0ACAAJgAgAEMASABBAFIAKAAzADkAKQAsAFwAbgAgACAAIAAgACAAIAAgACAAIAAgACAAIABBAE4ARAAoAGkAbgB0AF8AaQBuAGMAaAAgAD0AIABcACIAXAAiACwAIABmAHIAYQBjAF8AaQBuAGMAaAAgADwAPgAgAFwAIgBcACIAKQAsAFwAbgAgACAAIAAgACAAIAAgACAAIAAgACAAIABmAGUAZQB0ACAAJgAgAEMASABBAFIAKAAzADkAKQAgACYAIABDAEgAQQBSACgAMwAyACkAIAAmACAAaQBuAHQAXwBpAG4AYwBoACAAJgAgAGYAcgBhAGMAXwBpAG4AYwBoACAAJgAgAEMASABBAFIAKAAzADQAKQAsAFwAbgAgACAAIAAgACAAIAAgACAAIAAgACAAIABBAE4ARAAoAGkAbgB0AF8AaQBuAGMAaAAgADwAPgAgAFwAIgBcACIALAAgAGYAcgBhAGMAXwBpAG4AYwBoACAAPAA+ACAAXAAiAFwAIgApACwAXABuACAAIAAgACAAIAAgACAAIAAgACAAIAAgAGYAZQBlAHQAIAAmACAAQwBIAEEAUgAoADMAOQApACAAJgAgAEMASABBAFIAKAAzADIAKQAgACYAIABpAG4AdABfAGkAbgBjAGgAIAAmACAAXAAiAC0AXAAiACAAJgAgAGYAcgBhAGMAXwBpAG4AYwBoACAAJgAgAEMASABBAFIAKAAzADQAKQAsAFwAbgAgACAAIAAgACAAIAAgACAAIAAgACAAIABUAFIAVQBFACwAXABuACAAIAAgACAAIAAgACAAIAAgACAAIAAgAGYAZQBlAHQAIAAmACAAQwBIAEEAUgAoADMAOQApACAAJgAgAEMASABBAFIAKAAzADIAKQAgACYAIABpAG4AdABfAGkAbgBjAGgAIAAmACAAQwBIAEEAUgAoADMANAApAFwAbgAgACAAIAAgACAAIAAgACAAKQAsAFwAbgAgACAAIAAgACAAIAAgACAAcwB0AGEAbgBkAGEAcgBkACwAIABmAGUAZQB0ACAAJgAgAEMASABBAFIAKAAzADkAKQAgACYAIABDAEgAQQBSACgAMwAyACkAIAAmACAAZABlAGMAaQBtAGEAbABfAGkAbgBjAGgAIAAmACAAQwBIAEEAUgAoADMANAApACwAXABuACAAIAAgACAAIAAgACAAIAAvACoAbgB1AG0AZQByAGYAaQBuAGEAbAAmAFwAIgAgAFwAIgAmAGQAZQBuAG8AbQBmAGkAbgBhAGwAJgBcACIAIABcACIAJgBnAGMAZAAoAGkAbgBjAGgAXwBuAHUAbQBlAHIALABkAGUAbgBvAG0AKQAmAFwAIgAgAFwAIgAmAGMAbwBtAGYAYQBjAHQAKgAvAFwAbgAgACAAIAAgACAAIAAgACAAbwB1AHQAcAB1AHQALAAgAFMAVwBJAFQAQwBIACgAcwB0AHkAbABlACwAIAAwACwAIABzAHQAYQBuAGQAYQByAGQALAAgADEALAAgAGMAbwBtAGIAbwApACwAXABuACAAIAAgACAAIAAgACAAIABvAHUAdABwAHUAdABcAG4AIAAgACAAIAApAFwAbgApADsAXABuAFwAbgBCAEUAUwBUAEYASQBUACAAPQAgAEwAQQBNAEIARABBACgAaQBuAHAAdQB0ACwAXABuACAAIAAgACAATABFAFQAKABcAG4AIAAgACAAIAAgACAAIAAgAGwAaQBzAHQALAAgAHsAMgAsACAANAAsACAAOAAsACAAMQA2ACwAIAAzADIAfQAsAFwAbgAgACAAIAAgACAAIAAgACAAcAByAGUAYwAsACAAMQAsAFwAbgAgACAAIAAgACAAIAAgACAAaQBuAGMAaABfAG0AYQBuAHQALAAgAE0ATwBEACgAaQBuAHAAdQB0ACwAIAAxACkALABcAG4AIAAgACAAIAAgACAAIAAgAHIAZQBzAHUAbAB0ACwAIABUAEUAWABUACgAaQBuAGMAaABfAG0AYQBuAHQALAAgAFwAIgA/AC8AMwAyAFwAIgApACwAXABuACAAIAAgACAAIAAgACAAIAB0AGUAcwB0ACwAIABWAEEATABVAEUAKABUAEUAWABUAEEARgBUAEUAUgAoAHIAZQBzAHUAbAB0ACwAIABcACIALwBcACIAKQApACwAXABuACAAIAAgACAAIAAgACAAIABkAGUAbgBvAG0ALAAgAFgATABPAE8ASwBVAFAAKAB0AGUAcwB0ACwAIABsAGkAcwB0ACwAIABsAGkAcwB0ACwAIAAsACAALQAxACkALABcAG4AIAAgACAAIAAgACAAIAAgAGkAbgBjAGgALAAgAFEAVQBPAFQASQBFAE4AV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YwBoAGUAYwBrACwAIABNAE8ARAAoAGkAbgBjAGgAXwBuAHUAbQBlAHIALAAgAGQAZQBuAG8AbQApACwAXABuACAAIAAgACAAIAAgACAAIABmAHIAYQBjAF8AaQBuAGMAaAAsACAASQBGACgAYwBoAGUAYwBrACAAPAA+ACAAMAAsACAAbgB1AG0AZQByAGYAaQBuAGEAbAAgACYAIABcACIALwBcACIAIAAmACAAZABlAG4AbwBtAGYAaQBuAGEAbAAsACAAXAAiAFwAIgApACwAXABuACAAIAAgACAAIAAgACAAIABvAHUAdABwAHUAdAAsACAASQBGACgAXABuACAAIAAgACAAIAAgACAAIAAgACAAIAAgAE8AUgAoAGkAbgBjAGgAXwBuAHUAbQBlAHIAIAA9ACAAMAAsACAAdABlAHMAdAAgAD0AIAAxACkALABcAG4AIAAgACAAIAAgACAAIAAgACAAIAAgACAAaQBuAGMAaAAgACYAIABDAEgAQQBSACgAMwA0ACkALABcAG4AIAAgACAAIAAgACAAIAAgACAAIAAgACAASQBGACgAaQBuAGMAaAAgADwAPgAgADAALAAgAGkAbgBjAGgAIAAmACAAXAAiAC0AXAAiACAAJgAgAGYAcgBhAGMAXwBpAG4AYwBoACAAJgAgAEMASABBAFIAKAAzADQAKQAsACAAZgByAGEAYwBfAGkAbgBjAGgAIAAmACAAQwBIAEEAUgAoADMANAApACkAXABuACAAIAAgACAAIAAgACAAIAApACwAXABuACAAIAAgACAAIAAgACAAIABvAHUAdABwAHUAdABcAG4AIAAgACAAIAApAFwAbgApADsAXABuAFwAbgBJAE4AQwBIAF8AQwBPAE4AVgBFAFIAVAAgAD0AIABMAEEATQBCAEQAQQAoAGkAbgBwAHUAdAAsACAAWwBkAGUAbgBvAG0AXQAsAFwAbgAgACAAIAAgAEwARQBUACgAXABuACAAIAAgACAAIAAgACAAIABkAGUAbgBvAG0ALAAgAEkARgAoAEkAUwBPAE0ASQBUAFQARQBEACgAZABlAG4AbwBtACkALAAgADMAMgAsACAAVABSAFUATgBDACgAZABlAG4AbwBtACkAKQAsAFwAbgAgACAAIAAgACAAIAAgACAAaQBuAGMAaAAsACAAUQBVAE8AVABJAEUATgBUACgAaQBuAHAAdQB0ACwAIAAxACkALABcAG4AIAAgACAAIAAgACAAIAAgAGkAbgBjAGgAXwBtAGEAbgB0ACwAIABNAE8ARAAoAGkAbgBwAHUAdAAsACAAMQApACwAXABuACAAIAAgACAAIAAgACAAIABpAG4AYwBoAF8AbgB1AG0AZQByACwAIABUAFIAVQBOAEMAKABpAG4AYwBoAF8AbQBhAG4AdAAgACoAIABkAGUAbgBvAG0AKQAsAFwAbgAgACAAIAAgACAAIAAgACAAYwBvAG0AZgBhAGMAdAAsACAARwBDAEQAKABpAG4AYwBoAF8AbgB1AG0AZQByACwAIABkAGUAbgBvAG0AKQAsAFwAbgAgACAAIAAgACAAIAAgACAAbgB1AG0AZQByAGYAaQBuAGEAbAAsACAAaQBuAGMAaABfAG4AdQBtAGUAcgAgAC8AIABjAG8AbQBmAGEAYwB0ACwAXABuACAAIAAgACAAIAAgACAAIABkAGUAbgBvAG0AZgBpAG4AYQBsACwAIABkAGUAbgBvAG0AIAAvACAAYwBvAG0AZgBhAGMAdAAsAFwAbgAgACAAIAAgACAAIAAgACAAdABlAHMAdAAsACAATQBPAEQAKABpAG4AYwBoAF8AbgB1AG0AZQByACwAIABkAGUAbgBvAG0AKQAsAFwAbgAgACAAIAAgACAAIAAgACAAZgByAGEAYwBfAGkAbgBjAGgALAAgAEkARgAoAHQAZQBzAHQAIAA8AD4AIAAwACwAIABuAHUAbQBlAHIAZgBpAG4AYQBsACAAJgAgAFwAIgAvAFwAIgAgACYAIABkAGUAbgBvAG0AZgBpAG4AYQBsACwAIABcACIAXAAiACkALABcAG4AIAAgACAAIAAgACAAIAAgAG8AdQB0AHAAdQB0ACwAIABJAEYAKABpAG4AYwBoAF8AbgB1AG0AZQByACAAPQAgADAALAAgAGkAbgBjAGgAIAAmACAAQwBIAEEAUgAoADMANAApACwAIABpAG4AYwBoACAAJgAgAFwAIgAtAFwAIgAgACYAIABmAHIAYQBjAF8AaQBuAGMAaAAgACYAIABDAEgAQQBSACgAMwA0ACkAKQAsAFwAbgAgACAAIAAgACAAIAAgACAAbwB1AHQAcAB1AHQAXABuACAAIAAgACAAKQBcAG4AKQA7AFwAbgBcAG4ALwAqACAAUgBBAE4ARwBFAF8AUABFAFIAQwBFAE4AVABfAE8ARgBfAFYAQQBMAFUARQA6AFwAbgBcAG4AUgBlAHQAdQByAG4AcwAgAHQAaABlACAAcABlAHIAYwBlAG4AdABhAGcAZQAgACgAYQBzACAAYQAgAGQAZQBjAGkAbQBhAGwAIABmAHIAYQBjAHQAaQBvAG4AKQAgAGIAZQB0AHcAZQBlAG4AIABtAGkAbgAgAGEAbgBkACAAbQBhAHgAXABuACAAIAAgACAAdwBoAGkAYwBoACAAaQBzACAAcgBlAHAAcgBlAHMAZQBuAHQAZQBkACAAYgB5ACAAYQAgAGcAaQB2AGUAbgAgAHYAYQBsAHUAZQBcAG4AXABuAEUALgBnAC4AIABUAGgAZQAgAHYAYQBsAHUAZQAgADcAIAByAGUAcAByAGUAcwBlAG4AdABzACAAMAAuADQANAA0ADQANAAuAC4ALgAgACgANAA0AC4ANAAlACkAIABvAGYAIAB0AGgAZQAgAHIAYQBuAGcAZQAgADMAIAB0AG8AIAAxADIAXABuACoALwBcAG4AUgBBAE4ARwBFAF8AUABFAFIAQwBFAE4AVABfAE8ARgBfAFYAQQBMAFU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gBBAE4ARwBFAF8AVgBBAEwAVQBFAF8ATwBGAF8AUABFAFIAQwBFAE4AVAA6AFwAbgBcAG4AUgBlAHQAdQByAG4AcwAgAHQAaABlACAAdgBhAGwAdQBlACAAdwBoAGkAYwBoACAAaQBzACAAdABoAGUAIABnAGkAdgBlAG4AIABwAGUAcgBjAGUAbgB0AGEAZwBlACAAYgBlAHQAdwBlAGUAbgAgAE0ASQBOACAAYQBuAGQAIABNAEEAWABcAG4AcABjAHQAIABpAHMAIABzAHUAcABwAGwAaQBlAGQAIABhAHMAIABhACAAZABlAGMAaQBtAGEAbAAgAG4AdQBtAGIAZQByACAAYgBlAHQAdwBlAGUAbgAgADAAIABhAG4AZAAgADEAMAAwAFwAbgAgACAAIAAgAGEAbgBkACAAYwBvAG4AdgBlAHIAdABlAGQAIABpAG4AdABlAHIAbgBhAGwAbAB5ACAAdABvACAAYQAgAGQAZQBjAGkAbQBhAGwAIABmAHIAYQBjAHQAaQBvAG4AXABuACAAIAAgACAAaQAuAGUALgAgAHAAYwB0ACAAPQAgADQAMAAuADYANQAgAC0APgAgADAALgA0ADAANgA1AFwAbgAqAC8AXABuAFIAQQBOAEcARQBfAFYAQQBMAFUARQBfAE8ARgBfAFAARQBSAEMARQBO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C8ALwAgAHAAYwB0ACwAIABwAGMAdAAgAC8AIAAxADAAMAAsAFwAbgAgACAAIAAgACAAIAAgACAAYwBhAGwAYwAsACAAcABjAHQAIAAqACAAKABtAGEAeAAgAC0AIABtAGkAbgApACAAKwAgAG0AaQBuACwAXABuACAAIAAgACAAIAAgACAAIABSAE8AVQBOAEQAKABjAGEAbABjACwAIABkAGUAYwBwAHIAZQBjACkAXABuACAAIAAgACAAKQBcAG4AKQA7AFwAbgBcAG4ALwAqACAAUgBBAE4ARwBFAF8AUABFAFIAQwBFAE4AVABfAFQAUgBBAE4AUwBGAEUAUgA6AFwAbgBcAG4AVAByAGEAbgBzAGYAZQByAHMAIABhACAAcABlAHIAYwBlAG4AdABhAGcAZQAgAGIAZQB0AHcAZQBlAG4AIAB0AHcAbwAgAHAAYQBpAHIAcwAgAG8AZgAgAG4AdQBtAGIAZQByAHMAXABuAFwAbgBFAC4AZwAuACAAUABFAFIAQwBFAE4AVABfAE8ARgBfAEwASQBTAFQAXwBYAEYAUgAoADMALAAxADEALAA1ACwAMgAsADEAOQApACAAPQAgADYALgAyADUALAAgAHcAaABpAGMAaAAgAGkAcwA6AFwAbgAgACAAIAAgAEYAaQBuAGQAIAB0AGgAZQAgAHAAZQByAGMAZQBuAHQAYQBnAGUAIAByAGUAcAByAGUAcwBlAG4AdABlAGQAIABiAHkAIAA1ACAAYgBlAHQAdwBlAGUAbgAgADMAIABhAG4AZAAgADEAMQBcAG4AIAAgACAAIABGAGkAbgBkACAAdABoAGUAIABuAHUAbQBiAGUAcgAgAGIAZQB0AHcAZQBlAG4AIAAyACAAYQBuAGQAIAAxADkAIAB3AGgAaQBjAGgAIABjAG8AcgByAGUAcwBwAG8AbgBkAHMAIAB0AG8AXABuACAAIAAgACAAIAAgACAAIAB0AGgAYQB0ACAAcwBhAG0AZQAgAHAAZQByAGMAZQBuAHQAYQBnAGUALgBcAG4AXABuACAAIAAgACAAIAAgACAAIABpAC4AZQAuACAANQAgAGkAcwAgADIANQAlACAAbwBmACAAdABoAGUAIAByAGEAbgBnAGUAIAAzACAAdABvACAAMQAxADsAXABuACAAIAAgACAAIAAgACAAIAA2AC4AMgA1ACAAaQBzACAAMgA1ACUAIABvAGYAIAB0AGgAZQAgAHIAYQBuAGcAZQAgADIAIAB0AG8AIAAxADkAXABuACoALwBcAG4AUgBBAE4ARwBFAF8AUABFAFIAQwBFAE4AVABfAFQAUgBBAE4AUwBGAEUAUgAgAD0AIABMAEEATQBCAEQAQQAoAFMAdABhAHIAdABNAGkAbgAsACAAUwB0AGEAcgB0AE0AYQB4ACwAIABUAGEAcgBnAGUAdAAsACAARQBuAGQATQBpAG4ALAAgAEUAbgBkAE0AYQB4ACwAIABbAGQAZQBjAHAAcgBlAGMAXQAsAFwAbgAgACAAIAAgAEwARQBUACgAXABuACAAIAAgACAAIAAgACAAIABkAGUAYwBwAHIAZQBjACwAIABJAEYAKABJAFMATwBNAEkAVABUAEUARAAoAGQAZQBjAHAAcgBlAGMAKQAsACAAMQA1ACwAIABkAGUAYwBwAHIAZQBjACkALABcAG4AIAAgACAAIAAgACAAIAAgAHAAYwB0ACwAIAAoAFQAYQByAGcAZQB0ACAALQAgAFMAdABhAHIAdABNAGkAbgApACAALwAgACgAUwB0AGEAcgB0AE0AYQB4ACAALQAgAFMAdABhAHIAdABNAGkAbgApACwAXABuACAAIAAgACAAIAAgACAAIABjAGEAbABjACwAIABwAGMAdAAgACoAIAAoAEUAbgBkAE0AYQB4ACAALQAgAEUAbgBkAE0AaQBuACkAIAArACAARQBuAGQATQBpAG4ALABcAG4AIAAgACAAIAAgACAAIAAgAFIATwBVAE4ARAAoAGMAYQBsAGMALAAgAGQAZQBjAHAAcgBlAGMAKQBcAG4AIAAgACAAIAApAFwAbgApADsAXABuAFwAbgAvACoAIABSAEUAQwBJAFAAOgBcAG4AXABuAFIAZQB0AHUAcgBuAHMAIAB0AGgAZQAgAHIAZQBjAGkAcAByAG8AYwBhAGwAIABvAGYAIAB0AGgAZQAgAGkAbgBwAHUAdABcAG4AKgAvAFwAbgBSAEUAQwBJAFAAIAA9ACAATABBAE0AQgBEAEEAKABpAG4AcAB1AHQALAAgADEAIAAvACAAaQBuAHAAdQB0ACkAOwBcAG4AXABuAC8AKgAgAFIATwBPAFQAXwBEAEkARwBJAFQAQQBMADoAXABuAFwAbgBDAGEAbABjAHUAbABhAHQAZQBzACAAdABoAGUAIABkAGkAZwBpAHQAYQBsACAAcgBvAG8AdAAgAG8AZgAgAHQAaABlACAAaQBuAHAAdQB0AFwAbgBcAG4AKgAvAFwAbgBSAE8ATwBUAF8ARABJAEcASQBUAEEATAAgAD0AIABMAEEATQBCAEQAQQAoAGkAbgBwAHUAdAAsAFwAbgAgACAAIAAgAEwARQBUACgAXABuACAAIAAgACAAIAAgACAAIABtAG8AZABlACwAIABJAEYAKABpAG4AcAB1AHQAIAA8ACAAMQAsACAAMQAsACAAMAApACwAXABuACAAIAAgACAAIAAgACAAIABpAG4AcAB1AHQALAAgAFMAVwBJAFQAQwBIACgAbQBvAGQAZQAsACAAMAAsACAAVABSAFUATgBDACgAaQBuAHAAdQB0ACkALAAgADEALAAgAFYAQQBMAFUARQAoAFMAVQBCAFMAVABJAFQAVQBUAEUAKABpAG4AcAB1AHQALAAgAFwAIgAuAFwAIgAsACAAXAAiAFwAIgApACkALAAgACkALABcAG4AIAAgACAAIAAgACAAIAAgAHMAdQBiACwAIABTAFUATQBQAFIATwBEAFUAQwBUACgALQAtAE0ASQBEACgAaQBuAHAAdQB0ACwAIABTAEUAUQBVAEUATgBDAEUAKABMAEUATgAoAGkAbgBwAHUAdAApACkALAAgADEAKQApACwAXABuACAAIAAgACAAIAAgACAAIAByAG8AbwB0ACwAIAAxACAAKwAgAE0ATwBEACgAQQBCAFMAKABzAHUAYgApACAALQAgADEALAAgADkAKQAsAFwAbgAgACAAIAAgACAAIAAgACAAcgBvAG8AdABcAG4AIAAgACAAIAApAFwAbgApADsAXABuAFwAbgAvACoAIABSAE8ATwBUAF8ARABJAEcASQBUAEEATABfAFMAVQBCADoAXABuAFwAbgBDAGEAbABjAHUAbABhAHQAZQBzACAAdABoAGUAIABEAGkAZwBpAHQAYQBsACAAUwB1AGIAcgBvAG8AdAAgACgAMgAtAGQAaQBnAGkAdAAgAHIAbwBvAHQAKQAgAG8AZgAgAHQAaABlACAAaQBuAHAAdQB0AFwAbgBSAGUAdAB1AHIAbgBzACAAdABoAGUAIABzAGEAbQBlACAAcgBlAHMAdQBsAHQAIABhAHMAIABTAFUATQBEAEkARwBJAFQAUwBcAG4AKgAvAFwAbgBSAE8ATwBUAF8ARABJAEcASQBUAEEATABfAFMAVQBC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TAFUATQBEAEkARwBJAFQAUwBcAG4AXABuAFMAdQBtAHMAIAB0AGgAZQAgAGQAaQBnAGkAdABzACAAbwBmACAAYQAgAG4AdQBtAGIAZQByAFwAbgBSAGUAdAB1AHIAbgBzACAAdABoAGUAIABzAGEAbQBlACAAcgBlAHMAdQBsAHQAIABhAHMAIABSAE8ATwBUAF8ARABJAEcASQBUAEEATABfAFMAVQBCAFwAbgAqAC8AXABuAFMAVQBNAEQASQBHAEkAVABTACAAPQAgAEwAQQBNAEIARABBACgAaQBuAHAAdQB0ACwAXABuACAAIAAgACAATABFAFQAKABcAG4AIAAgACAAIAAgACAAIAAgAG0AbwBkAGUALAAgAEkARgAoAGkAbgBwAHUAdAAgADwAIAAxACwAIAAxACwAIAAwACkALABcAG4AIAAgACAAIAAgACAAIAAgAGkAbgBwAHUAdAAsACAAUwBXAEkAVABDAEgAKABtAG8AZABlACwAIAAwACwAIABUAFIAVQBOAEMAKABpAG4AcAB1AHQAKQAsACAAMQAsACAAVgBBAEwAVQBFACgAUwBVAEIAUwBUAEkAVABVAFQARQAoAGkAbgBwAHUAdAAsACAAXAAiAC4AXAAiACwAIABcACIAXAAiACkAKQAsACAAKQAsAFwAbgAgACAAIAAgACAAIAAgACAASQBGACgAXABuACAAIAAgACAAIAAgACAAIAAgACAAIAAgAEEATgBEACgAaQBuAHAAdQB0ACAAPAA+ACAAMQAxACwAIABpAG4AcAB1AHQAIAA8AD4AIAAyADIALAAgAGkAbgBwAHUAdAAgADwAPgAgADMAMwApACwAXABuACAAIAAgACAAIAAgACAAIAAgACAAIAAgAFMAVQBNAFAAUgBPAEQAVQBDAFQAKAAtAC0ATQBJAEQAKABpAG4AcAB1AHQALAAgAFMARQBRAFUARQBOAEMARQAoAEwARQBOACgAaQBuAHAAdQB0ACkAKQAsACAAMQApACkALABcAG4AIAAgACAAIAAgACAAIAAgACAAIAAgACAAaQBuAHAAdQB0AFwAbgAgACAAIAAgACAAIAAgACAAKQBcAG4AIAAgACAAIAApAFwAbgApADsAXABuAFwAbgAvACoAIABSAE8ATwBUAF8ATgBVAE0ARQBSAE8AOgBcAG4AXABuAEMAYQBsAGMAdQBsAGEAdABlAHMAIAB0AGgAZQAgAG4AdQBtAGUAcgBvAGwAbwBnAGkAYwBhAGwAIAByAG8AbwB0ACAAbwBmACAAdABoAGUAIABpAG4AcAB1AHQAXABuACoALwBcAG4AUgBPAE8AVABfAE4AVQBNAEUAUgBPACAAPQAgAEwAQQBNAEIARABBACgAaQBuAHAAdQB0ACwAXABuACAAIAAgACAATABFAFQAKABcAG4AIAAgACAAIAAgACAAIAAgAFQAZQBtAHAAVABvAHQALAAgAFMAVQBNAFAAUgBPAEQAVQBDAFQAKAAtAC0ATQBJAEQAKABpAG4AcAB1AHQALAAgAFMARQBRAFUARQBOAEMARQAoAEwARQBOACgAaQBuAHAAdQB0ACkAKQAsACAAMQApACkALABcAG4AIAAgACAAIAAgACAAIAAgAGYAbQB0ACwAIABcACIAIwBcACIALABcAG4AIAAgACAAIAAgACAAIAAgAEkARgAoAFwAbgAgACAAIAAgACAAIAAgACAAIAAgACAAIABpAG4AcAB1AHQAIAA8ACAAMQAwACwAXABuACAAIAAgACAAIAAgACAAIAAgACAAIAAgAFQARQBYAFQAKABpAG4AcAB1AHQALAAgAGYAbQB0ACkALABcAG4AIAAgACAAIAAgACAAIAAgACAAIAAgACAAVABFAFgAVABKAE8ASQBOACgAXABuACAAIAAgACAAIAAgACAAIAAgACAAIAAgACAAIAAgACAAXAAiAC8AXAAiACwAXABuACAAIAAgACAAIAAgACAAIAAgACAAIAAgACAAIAAgACAALABcAG4AIAAgACAAIAAgACAAIAAgACAAIAAgACAAIAAgACAAIABJAEYAKABcAG4AIAAgACAAIAAgACAAIAAgACAAIAAgACAAIAAgACAAIAAgACAAIAAgACgAaQBuAHAAdQB0ACAAPQAgADEAMQApACAAKwAgACgAaQBuAHAAdQB0ACAAPQAgADIAMgApACAAKwAgACgAaQBuAHAAdQB0ACAAPQAgADMAMwApACwAXABuACAAIAAgACAAIAAgACAAIAAgACAAIAAgACAAIAAgACAAIAAgACAAIABUAEUAWABUACgAaQBuAHAAdQB0ACwAIABmAG0AdAApACwAXABuACAAIAAgACAAIAAgACAAIAAgACAAIAAgACAAIAAgACAAIAAgACAAIABJAEYAKABUAGUAbQBwAFQAbwB0ACAAPAAgADEAMAAsACAAXAAiAFwAIgAsACAAVABlAG0AcABUAG8AdAApAFwAbgAgACAAIAAgACAAIAAgACAAIAAgACAAIAAgACAAIAAgACkALABcAG4AIAAgACAAIAAgACAAIAAgACAAIAAgACAAIAAgACAAIABUAEUAWABUACgAMQAgACsAIABNAE8ARAAoAEEAQgBTACgAaQBuAHAAdQB0ACkAIAAtACAAMQAsACAAOQApACwAIABmAG0AdAApAFwAbgAgACAAIAAgACAAIAAgACAAIAAgACAAIAApAFwAbgAgACAAIAAgACAAIAAgACAAKQBcAG4AIAAgACAAIAApAFwAbgApADsAXABuAFwAbgAvACoAIABTAFUATQBfAEkATgBUAEUARwBFAFIAUwA6AFwAbgBcAG4AUgBlAHQAdQByAG4AcwAgAHQAaABlACAAcwB1AG0AIABvAGYAIABhAGwAbAAgAGkAbgB0AGUAZwBlAHIAcwAgAHUAcAAgAHQAbwAgAGEAbgBkACAAaQBuAGMAbAB1AGQAaQBuAGcAIAB0AGgAZQAgAGkAbgBwAHUAdAAgAHYAYQBsAHUAZQBcAG4AKgAvAFwAbgBTAFUATQBfAEkATgBUAEUARwBFAFIAUwAgAD0AIABMAEEATQBCAEQAQQAoAGkAbgBwAHUAdAAsACAAWwBtAG8AZABlAF0ALABcAG4AIAAgACAAIABMAEUAVAAoAFwAbgAgACAAIAAgACAAIAAgACAAbQBvAGQAZQAsACAASQBGACgATwBSACgASQBTAE8ATQBJAFQAVABFAEQAKABtAG8AZABlACkALAAgAG0AbwBkAGUAIAA+ACAAMgApACwAIAAwACwAIABtAG8AZABlACkALABcAG4AIAAgACAAIAAgACAAIAAgAGUAdgBlAG4AXwB1AGIAbwB1AG4AZAAsACAASQBGACgASQBTAEUAVgBFAE4AKABpAG4AcAB1AHQAKQAsACAAaQBuAHAAdQB0ACwAIABpAG4AcAB1AHQAIAAtACAAMQApACwAXABuACAAIAAgACAAIAAgACAAIABvAGQAZABfAHUAYgBvAHUAbgBkACwAIABJAEYAKABJAFMATwBEAEQAKABpAG4AcAB1AHQAKQAsACAAaQBuAHAAdQB0ACwAIABpAG4AcAB1AHQAIAAtACAAMQApACwAXABuACAAIAAgACAAIAAgACAAIABvAHUAdABwAHUAdAAsACAAUwBXAEkAVABDAEgAKABcAG4AIAAgACAAIAAgACAAIAAgACAAIAAgACAAbQBvAGQAZQAsAFwAbgAgACAAIAAgACAAIAAgACAAIAAgACAAIAAwACwAIAAoAGkAbgBwAHUAdAAgACoAIAAoAGkAbgBwAHUAdAAgACsAIAAxACkAKQAgAC8AIAAyACwAXABuACAAIAAgACAAIAAgACAAIAAgACAAIAAgADEALAAgACgAZQB2AGUAbgBfAHUAYgBvAHUAbgBkACAAKgAgACgAZQB2AGUAbgBfAHUAYgBvAHUAbgBkACAAKwAgADIAKQApACAALwAgADQALABcAG4AIAAgACAAIAAgACAAIAAgACAAIAAgACAAMgAsACAAKAAoAG8AZABkAF8AdQBiAG8AdQBuAGQAIAArACAAMQApACAALwAgADIAKQAgAF4AIAAyAFwAbgAgACAAIAAgACAAIAAgACAAKQAsAFwAbgAgACAAIAAgACAAIAAgACAAbwB1AHQAcAB1AHQAXABuACAAIAAgACAAKQBcAG4AKQA7AFwAbgBcAG4AUABPAEwAWQBHAE8ATgBBAEwAIAA9ACAATABBAE0AQgBEAEEAKABzACwAIABuACwAIAAoACgAcwAgAC0AIAAyACkAIAAqACAAKAAoAG4AIABeACAAMgAgAC0AIABuACkAIAAvACAAMgApACkAIAArACAAbgApADsAXABuAFwAbgAvACoAIABTAFUATQBfAFIAQQBOAEcARQA6AFwAbgBcAG4AUgBlAHQAdQByAG4AcwAgAHQAaABlACAAcwB1AG0AIABvAGYAIABhAG4AIABhAHIAaQB0AGgAbQBlAHQAaQBjACAAcAByAG8AZwByAGUAcwBzAGkAbwBuACAAYgBlAHQAdwBlAGUAbgAgAGwAYgBvAHUAbgBkACAAYQBuAGQAIAB1AHAAYgBvAHUAbgBkAFwAbgAgACAAIAAgAGkAbgBjAHIAZQBtAGUAbgB0AGkAbgBnACAAZQBhAGMAaAAgAGkAdABlAG0AIABiAHkAIAB0AGgAZQAgAHMAcABlAGMAaQBmAGkAZQBkACAAaQBuAGMAcgBlAG0AZQBuAHQAXABuAFwAbgBFAC4AZwAuACAAUwBVAE0AXwBJAE4AQwBfAFIAQQBOAEcARQAoADQALAAyADAALAAzACkAIAAtAD4AIAA2ADkALAAgAHcAaABpAGMAaAAgAGkAcwA6AFwAbgAgACAAIAAgAHQAaABlACAAcwB1AG0AIABvAGYAIABhAGwAbAAgAGkAbgB0AGUAZwBlAHIAcwAgAHMAdABhAHIAdABpAG4AZwAgAHcAaQB0AGgAIAA0AFwAbgAgACAAIAAgAGEAbgBkACAAaQBuAGMAcgBlAG0AZQBuAHQAaQBuAGcAIABiAHkAIAAzAFwAbgAgACAAIAAgAHUAcAAgAHQAbwAgAHQAaABlACAAbABhAHIAZwBlAHMAdAAgAGkAdABlAG0AIABsAGUAcwBzAC0AdABoAGEAbgAtAG8AcgAtAGUAcQB1AGEAbAAtAHUAYgBvAHUAbgBkACwAXABuACAAIAAgACAAaQAuAGUALgAgAFMAVQBNACgANAAsACAANwAsACAAMQAwACwAIAAxADMALAAgADEANgAsACAAMQA5ACkAIAA9ACAANgA5AFwAbgAqAC8AXABuAFMAVQBNAF8AUgBBAE4ARwBFACAAPQAgAEwAQQBNAEIARABBACgAbABiAG8AdQBuAGQALAAgAFsAdQBiAG8AdQBuAGQAXQAsACAAWwBpAG4AYwByAGUAbQBlAG4AdABdACwAXABuACAAIAAgACAATABFAFQAKABcAG4AIAAgACAAIAAgACAAIAAgAHUAXwBiAG8AdQBuAGQALAAgAEkARgAoAEkAUwBPAE0ASQBUAFQARQBEACgAdQBiAG8AdQBuAGQAKQAsACAAbABiAG8AdQBuAGQALAAgAHUAYgBvAHUAbgBkACkALABcAG4AIAAgACAAIAAgACAAIAAgAGwAYgBvAHUAbgBkACwAIABJAEYAKABJAFMATwBNAEkAVABUAEUARAAoAHUAYgBvAHUAbgBkACkALAAgADEALAAgAGwAYgBvAHUAbgBkACkALABcAG4AIAAgACAAIAAgACAAIAAgAGkAbgBjAHIAZQBtAGUAbgB0ACwAIABJAEYAKABJAFMATwBNAEkAVABUAEUARAAoAGkAbgBjAHIAZQBtAGUAbgB0ACkALAAgADEALAAgAGkAbgBjAHIAZQBtAGUAbgB0ACkALABcAG4AIAAgACAAIAAgACAAIAAgAGwAZQBuAGcAdABoACwAIABUAFIAVQBOAEMAKAAoAHUAXwBiAG8AdQBuAGQAIAAtACAAbABiAG8AdQBuAGQAKQAgAC8AIABpAG4AYwByAGUAbQBlAG4AdAApACAAKwAgADEALABcAG4AIAAgACAAIAAgACAAIAAgAHQAbwB0AGEAbAAsACAAKABsAGUAbgBnAHQAaAAgAC8AIAAyACkAIAAqACAAKAAoADIAIAAqACAAbABiAG8AdQBuAGQAKQAgACsAIAAoACgAbABlAG4AZwB0AGgAIAAtACAAMQApACAAKgAgAGkAbgBjAHIAZQBtAGUAbgB0ACkAKQAsAFwAbgAgACAAIAAgACAAIAAgACAAdABvAHQAYQBsAFwAbgAgACAAIAAgACkAXABuACkAOwBcAG4AXABuAFMARQBRAFUARQBOAEMARQBfAFIARQBQAEUAQQBUACAAPQAgAEwAQQBNAEIARABBACgAcwB0AGEAcgB0ACwAIABlAG4AZAAsACAAcgBlAHAAZQBhAHQALAAgAFsAcgBlAHAAZQBhAHQATQBvAGQAZQBdACwAXABuACAAIAAgACAATABFAFQAKABcAG4AIAAgACAAIAAgACAAIAAgAGwAZQBuACwAIABBAEIAUwAoAHMAdABhAHIAdAAgAC0AIABlAG4AZAApACAAKwAgADEALABcAG4AIAAgACAAIAAgACAAIAAgAHIAZQBwAGUAYQB0ACwAIABJAEYAKABJAFMATgBVAE0AQgBFAFIAKAByAGUAcABlAGEAdAApACwAIAByAGUAcABlAGEAdAAsACAAMQApACwAIAAvAC8AIABFAG4AcwB1AHIAZQAgAHIAZQBwAGUAYQB0ACAAaQBzACAAYQAgAG4AdQBtAGIAZQByAFwAbgAgACAAIAAgACAAIAAgACAAdgBhAGwAaQBkACwAIABJAEYAKAByAGUAcABlAGEAdAAgAD4APQAgADAALAAgAFQAUgBVAEUALAAgAEYAQQBMAFMARQApACwAIAAvAC8AIABWAGEAbABpAGQAYQB0AGUAIAByAGUAcABlAGEAdAAgAGkAcwAgAG4AbwBuAC0AbgBlAGcAYQB0AGkAdgBlAFwAbgAgACAAIAAgACAAIAAgACAAcgBlAHAAZQBhAHQATQBvAGQAZQAsACAASQBGACgASQBTAE8ATQBJAFQAVABFAEQAKAByAGUAcABlAGEAdABNAG8AZABlACkALAAgADAALAAgAHIAZQBwAGUAYQB0AE0AbwBkAGUAKQAsACAALwAvACAARABlAGYAYQB1AGwAdAAgAHQAbwAgAHIAZQBwAGUAYQB0AGkAbgBnACAAZQBhAGMAaAAgAG4AdQBtAGIAZQByACAAaQBmACAAcgBlAHAAZQBhAHQATQBvAGQAZQAgAGkAcwAgAG8AbQBpAHQAdABlAGQAXABuACAAIAAgACAAIAAgACAAIABzAGUAcQB1AGUAbgBjAGUALAAgAFMARQBRAFUARQBOAEMARQAoAGwAZQBuACwAIAAsACAAcwB0AGEAcgB0ACwAIAAxACkALABcAG4AIAAgACAAIAAgACAAIAAgAHIAZQBzAHUAbAB0ACwAIABJAEYAKABcAG4AIAAgACAAIAAgACAAIAAgACAAIAAgACAAdgBhAGwAaQBkACwAXABuACAAIAAgACAAIAAgACAAIAAgACAAIAAgAEkARgAoAFwAbgAgACAAIAAgACAAIAAgACAAIAAgACAAIAAgACAAIAAgAHIAZQBwAGUAYQB0AE0AbwBkAGUAIAA9ACAAMAAsACAALwAvACAAUgBlAHAAZQBhAHQAIABlAGEAYwBoACAAbgB1AG0AYgBlAHIAXABuACAAIAAgACAAIAAgACAAIAAgACAAIAAgACAAIAAgACAATABFAFQAKABcAG4AIAAgACAAIAAgACAAIAAgACAAIAAgACAAIAAgACAAIAAgACAAIAAgAGEAcgByACwAIABDAE8ATgBDAEEAVAAoAEIAWQBSAE8AVwAoAHMAZQBxAHUAZQBuAGMAZQAsACAATABBAE0AQgBEAEEAKAB4ACwAIABSAEUAUABUACgAQwBPAE4AQwBBAFQAKAB4ACwAIABcACIALABcACIAKQAsACAAcgBlAHAAZQBhAHQAKQApACkAKQAsAFwAbgAgACAAIAAgACAAIAAgACAAIAAgACAAIAAgACAAIAAgACAAIAAgACAAVgBBAEwAVQBFACgAVABPAEMATwBMACgAVABFAFgAVABTAFAATABJAFQAKABMAEUARgBUACgAYQByAHIALAAgAEwARQBOACgAYQByAHIAKQAgAC0AIAAxACkALAAgAFwAIgAsAFwAIgApACkAKQBcAG4AIAAgACAAIAAgACAAIAAgACAAIAAgACAAIAAgACAAIAApACwAXABuACAAIAAgACAAIAAgACAAIAAgACAAIAAgACAAIAAgACAALwAvACAAUgBlAHAAZQBhAHQAIAB0AGgAZQAgAGUAbgB0AGkAcgBlACAAcwBlAHEAdQBlAG4AYwBlAFwAbgAgACAAIAAgACAAIAAgACAAIAAgACAAIAAgACAAIAAgAEwARQBUACgAXABuACAAIAAgACAAIAAgACAAIAAgACAAIAAgACAAIAAgACAAIAAgACAAIABhAHIAcgAsACAAQwBPAE4AQwBBAFQAKABSAEUAUABUACgAQwBPAE4AQwBBAFQAKABUAEUAWABUAEoATwBJAE4AKABcACIALABcACIALAAgAFQAUgBVAEUALAAgAHMAZQBxAHUAZQBuAGMAZQApACwAIABcACIALABcACIAKQAsACAAcgBlAHAAZQBhAHQAKQApACwAXABuACAAIAAgACAAIAAgACAAIAAgACAAIAAgACAAIAAgACAAIAAgACAAIABWAEEATABVAEUAKABUAE8AQwBPAEwAKABUAEUAWABUAFMAUABMAEkAVAAoAEwARQBGAFQAKABhAHIAcgAsACAATABFAE4AKABhAHIAcgApACAALQAgADEAKQAsACAAXAAiACwAXAAiACkAKQApAFwAbgAgACAAIAAgACAAIAAgACAAIAAgACAAIAAgACAAIAAgACkAXABuACAAIAAgACAAIAAgACAAIAAgACAAIAAgACkALABcAG4AIAAgACAAIAAgACAAIAAgACAAIAAgACAAXAAiAEkAbgB2AGEAbABpAGQAIABpAG4AcAB1AHQAOgAgAHIAZQBwAGUAYQB0ACAAbQB1AHMAdAAgAGIAZQAgAG4AbwBuAC0AbgBlAGcAYQB0AGkAdgBlAFwAIgBcAG4AIAAgACAAIAAgACAAIAAgACkALABcAG4AIAAgACAAIAAgACAAIAAgAHIAZQBzAHUAbAB0AFwAbgAgACAAIAAgACkAXABuACkAOwBcAG4AXABuAC8AKgAgAFMARQBRAFUARQBOAEMARQBfAEIARQBUAFcAOgBcAG4AXABuAFIAZQB0AHUAcgBuAHMAIABhACAAcwBlAHEAdQBlAG4AYwBlACAAbwBmACAAbABlAG4AZwB0AGgALAAgAHcAaQB0AGgAIABlAHEAdQBhAGwAIABpAG4AdABlAHIAdgBhAGwAcwBcAG4AYgBlAHQAdwBlAGUAbgAgAGwAYgBvAHUAbgBkACAAYQBuAGQAIAB1AGIAbwB1AG4AZABcAG4AKgAvAFwAbgBTAEUAUQBVAEUATgBDAEUAXwBCAEUAVABXACAAPQAgAEwAQQBNAEIARABBACgAbABiAG8AdQBuAGQALAAgAHUAYgBvAHUAbgBkACwAIABsAGUAbgBnAHQAaAAsAFwAbgAgACAAIAAgAEwARQBUACgAXABuACAAIAAgACAAIAAgACAAIABsAGUAbgBnAHQAaAAsACAATQBBAFgAKAAxACwAIABsAGUAbgBnAHQAaAApACwAIAAvAC8AIABFAG4AcwB1AHIAZQAgAGwAZQBuAGcAdABoACAAaQBzACAAYQB0ACAAbABlAGEAcwB0ACAAMQBcAG4AIAAgACAAIAAgACAAIAAgAHMAdABlAHAALAAgAEkARgAoAGwAZQBuAGcAdABoACAAPQAgADEALAAgADAALAAgACgAdQBiAG8AdQBuAGQAIAAtACAAbABiAG8AdQBuAGQAKQAgAC8AIAAoAGwAZQBuAGcAdABoACAALQAgADEAKQApACwAXABuACAAIAAgACAAIAAgACAAIABJAEYAKABsAGUAbgBnAHQAaAAgAD0AIAAxACwAIABsAGIAbwB1AG4AZAAsACAAUwBFAFEAVQBFAE4AQwBFACgAbABlAG4AZwB0AGgALAAgACwAIABsAGIAbwB1AG4AZAAsACAAcwB0AGUAcAApACkAXABuACAAIAAgACAAKQBcAG4AKQA7AFwAbgBcAG4ALwAqACAAUwBFAFEAVQBFAE4AQwBFAF8AQgBFAFQAVwBFAEUATgA6AFwAbgBcAG4AUgBlAHQAdQByAG4AcwAgAGEAIABzAGUAcQB1AGUAbgBjAGUAIABiAGUAdAB3AGUAZQBuACAAbABiAG8AdQBuAGQAIABhAG4AZAAgAHQAaABlACAAbABhAHIAZwBlAHMAdAAgAHYAYQBsAHUAZQAgADwAPQAgAHUAYgBvAHUAbgBkACwAXABuACAAIAAgACAAaQBuAGMAcgBlAG0AZQBuAHQAZQBkACAAYgB5ACAAcwB0AGUAcAAuAFwAbgBcAG4AIAAgACAAIABMAGUAbgBnAHQAaAAgAG8AZgAgAHIAZQB0AHUAcgBuAGUAZAAgAGwAaQBzAHQAIAB2AGEAcgBpAGUAcwAgAGQAZQBwAGUAbgBkAGkAbgBnACAAbwBuACAAaQBuAHAAdQB0ACAAcABhAHIAYQBtAGUAdABlAHIAcwBcAG4AKgAvAFwAbgBTAEUAUQBVAEUATgBDAEUAXwBCAEUAVABXAEUARQBOACAAPQAgAEwAQQBNAEIARABBACgAbABiAG8AdQBuAGQALAAgAHUAYgBvAHUAbgBkACwAIABbAHMAdABlAHAAXQAsACAAWwBtAG8AZABlAF0ALABcAG4AIAAgACAAIABMAEUAVAAoAFwAbgAgACAAIAAgACAAIAAgACAAbQBvAGQAZQAsACAASQBGACgATwBSACgASQBTAE8ATQBJAFQAVABFAEQAKABtAG8AZABlACkALAAgAG0AbwBkAGUAIAA+ACAAMQApACwAIAAwACwAIABtAG8AZABlACkALABcAG4AIAAgACAAIAAgACAAIAAgAHMAdABlAHAALAAgAEkARgAoAEkAUwBPAE0ASQBUAFQARQBEACgAcwB0AGUAcAApACwAIABJAEYAKAB1AGIAbwB1AG4AZAAgAD4APQAgAGwAYgBvAHUAbgBkACwAIAAxACwAIAAtADEAKQAsACAAcwB0AGUAcAApACwAXABuACAAIAAgACAAIAAgACAAIABjAG8AdQBuAHQALAAgAEkARgAoAHMAdABlAHAAIAA9ACAAMAAsACAAMQAsACAAQQBCAFMAKAAoAHUAYgBvAHUAbgBkACAALQAgAGwAYgBvAHUAbgBkACkAIAAvACAAcwB0AGUAcAApACAAKwAgADEAKQAsACAALwAvACAASABhAG4AZABsAGUAIABzAHQAZQBwACAAPQAgADAAXABuACAAIAAgACAAIAAgACAAIABsAGkAcwB0ACwAIABJAEYAKABzAHQAZQBwACAAPQAgADAALAAgAGwAYgBvAHUAbgBkACwAIABTAEUAUQBVAEUATgBDAEUAKABjAG8AdQBuAHQALAAgACwAIABsAGIAbwB1AG4AZAAsACAAcwB0AGUAcAApACkALAAgAC8ALwAgAEgAYQBuAGQAbABlACAAcwB0AGUAcAAgAD0AIAAwAFwAbgAgACAAIAAgACAAIAAgACAAbwB1AHQAcAB1AHQALAAgAEkARgAoAG0AbwBkAGUAIAA9ACAAMAAsACAAbABpAHMAdAAsACAAVABSAEEATgBTAFAATwBTAEUAKABsAGkAcwB0ACkAKQAsAFwAbgAgACAAIAAgACAAIAAgACAAbwB1AHQAcAB1AHQAXABuACAAIAAgACAAKQBcAG4AKQA7AFwAbgBcAG4ALwAqACAAUwBFAFEAVQBFAE4AQwBFAF8AQgBUAFcATgA6AFwAbgBcAG4AUgBlAHQAdQByAG4AcwAgAGEAIABzAGUAcQB1AGUAbgBjAGUAIABvAGYAIABuAHUAbQBiAGUAcgBzACAAbwBmACAAbABlAG4AZwB0AGgAIABcACIAYwBvAHUAbgB0AFwAIgAgAHcAaQB0AGgAIABlAHEAdQBhAGwAIABpAG4AdABlAHIAdgBhAGwAcwBcAG4AYgBlAHQAdwBlAGUAbgAgAHQAaABlACAAbABhAHIAZwBlAHMAdAAgAHYAYQBsAHUAZQAgAD4APQAgAGwAYgBvAHUAbgBkACAAYQBuAGQAIAB1AGIAbwB1AG4AZABcAG4AKgAvAFwAbgBTAEUAUQBVAEUATgBDAEUAXwBCAFQAVwBOACAAPQAgAEwAQQBNAEIARABBACgAbABiAG8AdQBuAGQALAAgAHUAYgBvAHUAbgBkACwAIABsAGUAbgBnAHQAaAAsACAAWwBtAG8AZABlAF0ALABcAG4AIAAgACAAIABMAEUAVAAoAFwAbgAgACAAIAAgACAAIAAgACAAbABlAG4AZwB0AGgALAAgAE0AQQBYACgAMQAsACAAbABlAG4AZwB0AGgAKQAsACAALwAvACAARQBuAHMAdQByAGUAIABsAGUAbgBnAHQAaAAgAGkAcwAgAGEAdAAgAGwAZQBhAHMAdAAgADEAXABuACAAIAAgACAAIAAgACAAIABtAG8AZABlACwAIABJAEYAKABPAFIAKABJAFMATwBNAEkAVABUAEUARAAoAG0AbwBkAGUAKQAsACAAbQBvAGQAZQAgAD4AIAAyACkALAAgADAALAAgAG0AbwBkAGUAKQAsAFwAbgAgACAAIAAgACAAIAAgACAAcwB0AHAALAAgAEkARgAoAGwAZQBuAGcAdABoACAAPQAgADEALAAgADAALAAgACgAdQBiAG8AdQBuAGQAIAAtACAAbABiAG8AdQBuAGQAKQAgAC8AIABsAGUAbgBnAHQAaAApACwAXABuACAAIAAgACAAIAAgACAAIAByAG4AZwAsACAASQBGACgAcwB0AHAAIAA9ACAAMAAsACAAMQAsACAAKAB1AGIAbwB1AG4AZAAgAC0AIABsAGIAbwB1AG4AZAApACAALwAgAHMAdABwACkALAAgAC8ALwAgAEgAYQBuAGQAbABlACAAcwB0AHAAIAA9ACAAMABcAG4AIAAgACAAIAAgACAAIAAgAGwAaQBzAHQALAAgAFMAVwBJAFQAQwBIACgAXABuACAAIAAgACAAIAAgACAAIAAgACAAIAAgAG0AbwBkAGUALABcAG4AIAAgACAAIAAgACAAIAAgACAAIAAgACAAMQAsACAAUwBFAFEAVQBFAE4AQwBFACgAcgBuAGcALAAgACwAIABsAGIAbwB1AG4AZAAgACsAIABzAHQAcAAsACAAcwB0AHAAKQAsAFwAbgAgACAAIAAgACAAIAAgACAAIAAgACAAIAAwACwAIABTAEUAUQBVAEUATgBDAEUAKAByAG4AZwAsACAALAAgAGwAYgBvAHUAbgBkACwAIABzAHQAcAApACwAXABuACAAIAAgACAAIAAgACAAIAAgACAAIAAgADIALAAgAFMARQBRAFUARQBOAEMARQAoAHIAbgBnACAAKwAgADEALAAgACwAIABsAGIAbwB1AG4AZAAsACAAcwB0AHAAKQBcAG4AIAAgACAAIAAgACAAIAAgACkALABcAG4AIAAgACAAIAAgACAAIAAgAGwAaQBzAHQAXABuACAAIAAgACAAKQBcAG4AKQA7AFwAbgBcAG4ALwAqACAAVABoAGUAIAB0AHcAbwAgAGYAbwBsAGwAbwB3AGkAbgBnACAAZgB1AG4AYwB0AGkAbwBuAHMAIABhAHIAZQAgAHQAYQBrAGUAbgAgAGYAcgBvAG0AIABDAGgAZQBzAHQAZQByACAAVAB1AGcAdwBlAGwAbAAgADwAaAB0AHQAcABzADoALwAvAHcAdwB3AC4AeQBvAHUAdAB1AGIAZQAuAGMAbwBtAC8AdwBhAHQAYwBoAD8AdgA9AGQATABSAEIAZQBOAFIAQQBzAC0ASQA+ACAAKgAvAFwAbgBcAG4ALwAqACAARwBFAFQARABJAEcASQBUAFMAXABuAFwAbgBFAHgAdAByAGEAYwB0AHMAIABuAHUAbQBiAGUAcgBzACAAZgByAG8AbQAgAHQAZQB4AHQAIABzAHQAcgBpAG4AZwBcAG4AKgAvAFwAbgBHAEUAVABEAEkARwBJAFQAUwAgAD0AIABMAEEATQBCAEQAQQAoAGkAbgBwAHUAdAAsAFwAbgAgACAAIAAgAEwARQBUACgAXABuACAAIAAgACAAIAAgACAAIABvAHUAdABwAHUAdAAsACAAVABFAFgAVABKAE8ASQBOACgAXAAiAFwAIgAsACAAVABSAFUARQAsACAASQBGAEUAUgBSAE8AUgAoAC0ALQBNAEkARAAoAGkAbgBwAHUAdAAsACAAUgBPAFcAKABJAE4ARABJAFIARQBDAFQAKABcACIAMQA6AFwAIgAgACYAIABMAEUATgAoAGkAbgBwAHUAdAApACkAKQAsACAAMQApACwAIABcACIAXAAiACkAKQAsAFwAbgAgACAAIAAgACAAIAAgACAAcgBlAHQAdQByAG4ALAAgAEkARgAoAG8AdQB0AHAAdQB0ACAAPQAgAFwAIgBcACIALAAgAFwAIgAjAE4ATwBOAEUAIQBcACIALAAgAG8AdQB0AHAAdQB0ACkALABcAG4AIAAgACAAIAAgACAAIAAgAHIAZQB0AHUAcgBuAFwAbgAgACAAIAAgACkAXABuACkAOwBcAG4AXABuAC8AKgAgAEcARQBUAEMASABBAFIAUwBcAG4AXABuAEUAeAB0AHIAYQBjAHQAcwAgAG4AdQBtAGIAZQByAHMAIABmAHIAbwBtACAAdABlAHgAdAAgAHMAdAByAGkAbgBnAFwAbgAqAC8AXABuAEcARQBUAEMASABBAFIAUwAgAD0AIABMAEEATQBCAEQAQQAoAGkAbgBwAHUAdAAsAFwAbgAgACAAIAAgAEwARQBUACgAXABuACAAIAAgACAAIAAgACAAIABvAHUAdABwAHUAdAAsACAAVABFAFgAVABKAE8ASQBOACgAXABuACAAIAAgACAAIAAgACAAIAAgACAAIAAgAFwAIgBcACIALABcAG4AIAAgACAAIAAgACAAIAAgACAAIAAgACAAVABSAFUARQAsAFwAbgAgACAAIAAgACAAIAAgACAAIAAgACAAIABJAEYAKABcAG4AIAAgACAAIAAgACAAIAAgACAAIAAgACAAIAAgACAAIABJAFMARQBSAFIATwBSACgALQAtAE0ASQBEACgAaQBuAHAAdQB0ACwAIABSAE8AVwAoAEkATgBEAEkAUgBFAEMAVAAoAFwAIgAxADoAXAAiACAAJgAgAEwARQBOACgAaQBuAHAAdQB0ACkAKQApACwAIAAxACkAKQAsAFwAbgAgACAAIAAgACAAIAAgACAAIAAgACAAIAAgACAAIAAgAE0ASQBEACgAaQBuAHAAdQB0ACwAIABSAE8AVwAoAEkATgBEAEkAUgBFAEMAVAAoAFwAIgAxADoAXAAiACAAJgAgAEwARQBOACgAaQBuAHAAdQB0ACkAKQApACwAIAAxACkALABcAG4AIAAgACAAIAAgACAAIAAgACAAIAAgACAAIAAgACAAIABcACIAXAAiAFwAbgAgACAAIAAgACAAIAAgACAAIAAgACAAIAApAFwAbgAgACAAIAAgACAAIAAgACAAKQAsAFwAbgAgACAAIAAgACAAIAAgACAAcgBlAHQAdQByAG4ALAAgAEkARgAoAG8AdQB0AHAAdQB0ACAAPQAgAFwAIgBcACIALAAgAFwAIgAjAE4ATwBOAEUAIQBcACIALAAgAG8AdQB0AHAAdQB0ACkALABcAG4AIAAgACAAIAAgACAAIAAgAHIAZQB0AHUAcgBuAFwAbgAgACAAIAAgACkAXABuACkAOwBcAG4AXABuAC8AKgAgAE4AVQBNAF8ATwBOAEwAWQBcAG4AXABuAHMAdAByAGkAcABzACAAdABlAHgAdAAgAG8AZgAgAGEAbABsACAAYQBsAHAAaABhAGIAZQB0AGkAYwAgAGMAaABhAHIAYQBjAHQAZQByAHMAIABvAHQAaABlAHIAIAB0AGgAYQBuACAAXAAiAC4AXAAiAFwAbgAqAC8AXABuAE4AVQBNAF8ATwBOAEwAWQAgAD0AIABMAEEATQBCAEQAQQAoAGkAbgBwAHUAdAAsAFwAbgAgACAAIAAgAEwARQBUACgAXABuACAAIAAgACAAIAAgACAAIABnAGUAdABfAGMAbwBkAGUAcwAsACAAQwBPAEQARQAoAE0ASQBEACgATABPAFcARQBSACgAaQBuAHAAdQB0ACkALAAgAFMARQBRAFUARQBOAEMARQAoAEwARQBOACgAaQBuAHAAdQB0ACkAKQAsACAAMQApACkALABcAG4AIAAgACAAIAAgACAAIAAgAG0AYQBrAGUAXwBuAHUAbQAsACAAUwBVAE0AKAAtAC0AQgBZAFIATwBXACgAZwBlAHQAXwBjAG8AZABlAHMALAAgAEwAQQBNAEIARABBACgAegAsACAAegAgAD0AIAA0ADYAKQApACkALABcAG4AIAAgACAAIAAgACAAIAAgAG8AdQB0AHAAdQB0ACwAIABJAEYAKABcAG4AIAAgACAAIAAgACAAIAAgACAAIAAgACAAbQBhAGsAZQBfAG4AdQBtACAAPgA9ACAAMgAsAFwAbgAgACAAIAAgACAAIAAgACAAIAAgACAAIABDAE8ATgBDAEEAVAAoAEIAWQBSAE8AVwAoAGcAZQB0AF8AYwBvAGQAZQBzACwAIABMAEEATQBCAEQAQQAoAHgALAAgAEkARgAoAEEATgBEACgATwBSACgAeAAgADwAIAA0ADgALAAgAHgAIAA+ACAANQA3ACkALAAgAHgAIAA8AD4AIAA0ADYAKQAsACAAXAAiAFwAIgAsACAAQwBIAEEAUgAoAHgAKQApACkAKQApACwAXABuACAAIAAgACAAIAAgACAAIAAgACAAIAAgAEkARgBFAFIAUgBPAFIAKABcAG4AIAAgACAAIAAgACAAIAAgACAAIAAgACAAIAAgACAAIABWAEEATABVAEUAKABcAG4AIAAgACAAIAAgACAAIAAgACAAIAAgACAAIAAgACAAIAAgACAAIAAgAEMATwBOAEMAQQBUACgAXABuACAAIAAgACAAIAAgACAAIAAgACAAIAAgACAAIAAgACAAIAAgACAAIAAgACAAIAAgAEIAWQBSAE8AVwAoAFwAbgAgACAAIAAgACAAIAAgACAAIAAgACAAIAAgACAAIAAgACAAIAAgACAAIAAgACAAIAAgACAAIAAgAGcAZQB0AF8AYwBvAGQAZQBzACwAXABuACAAIAAgACAAIAAgACAAIAAgACAAIAAgACAAIAAgACAAIAAgACAAIAAgACAAIAAgACAAIAAgACAATABBAE0AQgBEAEEAKAB4ACwAIABJAEYAKABBAE4ARAAoAE8AUgAoAHgAIAA8ACAANAA4ACwAIAB4ACAAPgAgADUANwApACwAIAB4ACAAPAA+ACAANAA2ACkALAAgAFwAIgBcACIALAAgAEMASABBAFIAKAB4ACkAKQApAFwAbgAgACAAIAAgACAAIAAgACAAIAAgACAAIAAgACAAIAAgACAAIAAgACAAIAAgACAAIAApAFwAbgAgACAAIAAgACAAIAAgACAAIAAgACAAIAAgACAAIAAgACAAIAAgACAAKQBcAG4AIAAgACAAIAAgACAAIAAgACAAIAAgACAAIAAgACAAIAApACwAXABuACAAIAAgACAAIAAgACAAIAAgACAAIAAgACAAIAAgACAAXAAiACMATgBPAE4ARQAhAFwAIgBcAG4AIAAgACAAIAAgACAAIAAgACAAIAAgACAAKQBcAG4AIAAgACAAIAAgACAAIAAgACkALABcAG4AIAAgACAAIAAgACAAIAAgAG8AdQB0AHAAdQB0AFwAbgAgACAAIAAgACkAXABuACkAOwBcAG4AXABuAC8AKgAgAEMASABBAFIAUwBfAEIARQBUAFcARQBFAE4AXABuAFwAbgBGAGkAbgBkAHMAIAB0AGUAeAB0ACAAYgBlAHQAdwBlAGUAbgAgAHQAdwBvACAAcwBwAGUAYwBpAGYAaQBlAGQAIABkAGUAbABpAG0AaQB0AGUAcgBzAFwAbgAqAC8AXABuAEMASABBAFIAUwBfAEIARQBUAFcARQBFAE4AIAA9ACAATABBAE0AQgBEAEEAKABpAG4AcAB1AHQALAAgAGQAZQBsAGkAbQAxACwAIABbAGQAZQBsAGkAbQAyAF0ALABcAG4AIAAgACAAIABMAEUAVAAoAFwAbgAgACAAIAAgACAAIAAgACAAZABlAGwAaQBtADIALAAgAEkARgAoAEkAUwBPAE0ASQBUAFQARQBEACgAZABlAGwAaQBtADIAKQAsACAAZABlAGwAaQBtADEALAAgAGQAZQBsAGkAbQAyACkALABcAG4AIAAgACAAIAAgACAAIAAgAHIAZQBzAHUAbAB0ACwAIABUAEUAWABUAEIARQBGAE8AUgBFACgAVABFAFgAVABBAEYAVABFAFIAKABpAG4AcAB1AHQALAAgAGQAZQBsAGkAbQAxACkALAAgAGQAZQBsAGkAbQAyACkALABcAG4AIAAgACAAIAAgACAAIAAgAG8AdQB0AHAAdQB0ACwAIABJAEYAKABJAFMATgBBACgAcgBlAHMAdQBsAHQAKQAsACAAXAAiACMARABFAEwASQBNACEAXAAiACwAIAByAGUAcwB1AGwAdAApACwAXABuACAAIAAgACAAIAAgACAAIABvAHUAdABwAHUAdABcAG4AIAAgACAAIAApAFwAbgApADsAXABuAFwAbgBUAEUAWABUAEIARQBUAFcARQBFAE4AIAA9ACAATABBAE0AQgBEAEEAKABpAG4AcAB1AHQALAAgAGQAZQBsAGkAbQAxACwAIABbAGQAZQBsAGkAbQAyAF0ALAAgAFsAaQBuAGMAbAB1AGQAZQBEAGUAbABpAG0AcwBdACwAXABuACAAIAAgACAATABFAFQAKABcAG4AIAAgACAAIAAgACAAIAAgAC8ALwAgAFMAZQB0ACAAZABlAGYAYQB1AGwAdAAgAHYAYQBsAHUAZQBzACAAZgBvAHIAIABvAHAAdABpAG8AbgBhAGwAIABwAGEAcgBhAG0AZQB0AGUAcgBzAFwAbgAgACAAIAAgACAAIAAgACAAZABlAGwAaQBtADIALAAgAEkARgAoAEkAUwBPAE0ASQBUAFQARQBEACgAZABlAGwAaQBtADIAKQAsACAAZABlAGwAaQBtADEALAAgAGQAZQBsAGkAbQAyACkALABcAG4AIAAgACAAIAAgACAAIAAgAGkAbgBjAGwAdQBkAGUARABlAGwAaQBtAHMALAAgAEkARgAoAEkAUwBPAE0ASQBUAFQARQBEACgAaQBuAGMAbAB1AGQAZQBEAGUAbABpAG0AcwApACwAIABGAEEATABTAEUALAAgAGkAbgBjAGwAdQBkAGUARABlAGwAaQBtAHMAKQAsAFwAbgAgACAAIAAgACAAIAAgACAAXABuACAAIAAgACAAIAAgACAAIAAvAC8AIABGAGkAbgBkACAAdABoAGUAIABwAG8AcwBpAHQAaQBvAG4AcwAgAG8AZgAgAHQAaABlACAAZABlAGwAaQBtAGkAdABlAHIAcwBcAG4AIAAgACAAIAAgACAAIAAgAHMAdABhAHIAdABQAG8AcwAsACAARgBJAE4ARAAoAGQAZQBsAGkAbQAxACwAIABpAG4AcAB1AHQAKQAsAFwAbgAgACAAIAAgACAAIAAgACAAZQBuAGQAUABvAHMALAAgAEYASQBOAEQAKABkAGUAbABpAG0AMgAsACAAaQBuAHAAdQB0ACwAIABzAHQAYQByAHQAUABvAHMAIAArACAATABFAE4AKABkAGUAbABpAG0AMQApACkALABcAG4AIAAgACAAIAAgACAAIAAgAFwAbgAgACAAIAAgACAAIAAgACAALwAvACAARQB4AHQAcgBhAGMAdAAgAHQAaABlACAAdABlAHgAdAAgAGIAZQB0AHcAZQBlAG4AIAB0AGgAZQAgAGQAZQBsAGkAbQBpAHQAZQByAHMAXABuACAAIAAgACAAIAAgACAAIABiAGUAdAB3AGUAZQBuAFQAZQB4AHQALAAgAE0ASQBEACgAaQBuAHAAdQB0ACwAIABzAHQAYQByAHQAUABvAHMAIAArACAATABFAE4AKABkAGUAbABpAG0AMQApACwAIABlAG4AZABQAG8AcwAgAC0AIABzAHQAYQByAHQAUABvAHMAIAAtACAATABFAE4AKABkAGUAbABpAG0AMQApACkALABcAG4AIAAgACAAIAAgACAAIAAgAFwAbgAgACAAIAAgACAAIAAgACAALwAvACAATwBwAHQAaQBvAG4AYQBsAGwAeQAgAGkAbgBjAGwAdQBkAGUAIAB0AGgAZQAgAGQAZQBsAGkAbQBpAHQAZQByAHMAIABpAG4AIAB0AGgAZQAgAHIAZQBzAHUAbAB0AFwAbgAgACAAIAAgACAAIAAgACAAcgBlAHMAdQBsAHQALAAgAEkARgAoAGkAbgBjAGwAdQBkAGUARABlAGwAaQBtAHMALAAgAGQAZQBsAGkAbQAxACAAJgAgAGIAZQB0AHcAZQBlAG4AVABlAHgAdAAgACYAIABkAGUAbABpAG0AMgAsACAAYgBlAHQAdwBlAGUAbgBUAGUAeAB0ACkALABcAG4AIAAgACAAIAAgACAAIAAgAFwAbgAgACAAIAAgACAAIAAgACAALwAvACAASABhAG4AZABsAGUAIABjAGEAcwBlAHMAIAB3AGgAZQByAGUAIABkAGUAbABpAG0AaQB0AGUAcgBzACAAYQByAGUAIABuAG8AdAAgAGYAbwB1AG4AZABcAG4AIAAgACAAIAAgACAAIAAgAG8AdQB0AHAAdQB0ACwAIABJAEYARQBSAFIATwBSACgAcgBlAHMAdQBsAHQALAAgAFwAIgAjAEQARQBMAEkATQAhAFwAIgApACwAXABuACAAIAAgACAAIAAgACAAIABvAHUAdABwAHUAdABcAG4AIAAgACAAIAApAFwAbgApADsAXABuAFwAbgAvACoAIABTAFAATABJAFQAUwBUAFIASQBOAEcAXABuAFMAcABsAGkAdABzACAAYQAgAHQAZQB4AHQAIABzAHQAcgBpAG4AZwAgAGkAbgB0AG8AIABzAGUAcABhAHIAYQB0AGUAIABjAGgAYQByAGEAYwB0AGUAcgBzAFwAbgAqAC8AXABuAFMAUABMAEkAVABTAFQAUgBJAE4ARwAgAD0AIABMAEEATQBCAEQAQQAoAGkAbgBwAHUAdAAsACAAWwBtAG8AZABlAF0ALABcAG4AIAAgACAAIABMAEUAVAAoAFwAbgAgACAAIAAgACAAIAAgACAAbQBvAGQAZQAsACAASQBGACgATwBSACgASQBTAE8ATQBJAFQAVABFAEQAKABtAG8AZABlACkALAAgAG0AbwBkAGUAIAA+ACAAMQApACwAIAAwACwAIABtAG8AZABlACkALABcAG4AIAAgACAAIAAgACAAIAAgAG8AdQB0AHAAdQB0ACwAIABJAEYAKABcAG4AIAAgACAAIAAgACAAIAAgACAAIAAgACAAbQBvAGQAZQAgAD0AIAAwACwAXABuACAAIAAgACAAIAAgACAAIAAgACAAIAAgAFQAUgBBAE4AUwBQAE8AUwBFACgATQBJAEQAKABpAG4AcAB1AHQALAAgAFMARQBRAFUARQBOAEMARQAoAEwARQBOACgAaQBuAHAAdQB0ACkAKQAsACAAMQApACkALABcAG4AIAAgACAAIAAgACAAIAAgACAAIAAgACAATQBJAEQAKABpAG4AcAB1AHQALAAgAFMARQBRAFUARQBOAEMARQAoAEwARQBOACgAaQBuAHAAdQB0ACkAKQAsACAAMQApAFwAbgAgACAAIAAgACAAIAAgACAAKQAsAFwAbgAgACAAIAAgACAAIAAgACAAbwB1AHQAcAB1AHQAXABuACAAIAAgACAAKQBcAG4AKQA7AFwAbgBcAG4ALwAqACAAUwBQAEwASQBUAEQASQBHAEkAVABTAFwAbgBcAG4AUwBwAGwAaQB0AHMAIABhACAATgBVAE0AQgBFAFIAIABzAHQAcgBpAG4AZwAgAGkAbgB0AG8AIABzAGUAcABhAHIAYQB0AGUAIABkAGkAZwBpAHQAcwBcAG4AcwB0AHIAaQBwAHMAIABkAGUAYwBpAG0AYQBsACAAcABvAGkAbgB0AFwAbgAqAC8AXABuAFMAUABMAEkAVABEAEkARwBJAFQAUwAgAD0AIABMAEEATQBCAEQAQQAoAGkAbgBwAHUAdAAsACAAWwBtAG8AZABlAF0ALABcAG4AIAAgACAAIABMAEUAVAAoAFwAbgAgACAAIAAgACAAIAAgACAAbQBvAGQAZQAsACAASQBGACgATwBSACgASQBTAE8ATQBJAFQAVABFAEQAKABtAG8AZABlACkALAAgAG0AbwBkAGUAIAA+ACAAMQApACwAIAAwACwAIABtAG8AZABlACkALABcAG4AIAAgACAAIAAgACAAIAAgAHMAdAByAGkAcABwAGUAZAAsACAAUwBVAEIAUwBUAEkAVABVAFQARQAoAGkAbgBwAHUAdAAsACAAXAAiAC4AXAAiACwAIABcACIAXAAiACkALABcAG4AIAAgACAAIAAgACAAIAAgAG8AdQB0AHAAdQB0ACwAIABJAEYARQBSAFIATwBSACgAVgBBAEwAVQBFACgATQBJAEQAKABzAHQAcgBpAHAAcABlAGQALAAgAFMARQBRAFUARQBOAEMARQAoAEwARQBOACgAcwB0AHIAaQBwAHAAZQBkACkAKQAsACAAMQApACkALAAgAFwAIgAwAFwAIgApACwAXABuACAAIAAgACAAIAAgACAAIABTAFcASQBUAEMASAAoAG0AbwBkAGUALAAgADEALAAgAG8AdQB0AHAAdQB0ACwAIAAwACwAIABUAFIAQQBOAFMAUABPAFMARQAoAG8AdQB0AHAAdQB0ACkALAAgACkAXABuACAAIAAgACAAKQBcAG4AKQA7AFwAbgBcAG4ALwAqACAAQwBPAFUATgBUAF8ASQBOAFMAVABBAE4AQwBFAFwAbgBcAG4AQwBvAHUAbgB0AHMAIAB0AGgAZQAgAG4AdQBtAGIAZQByACAAbwBmACAAdABpAG0AZQBzACAAYQAgAHMAdAByAGkAbgBnACAAYQBwAHAAZQBhAHIAcwAgAHcAaQB0AGgAaQBuACAAYQBuAG8AdABoAGUAcgAgAHMAdAByAGkAbgBnAFwAbgAqAC8AXABuAEMATwBVAE4AVABfAEkATgBTAFQAQQBOAEMARQAgAD0AIABMAEEATQBCAEQAQQAoAGkAbgBwAHUAdAAsACAAdABhAHIAZwBlAHQALABcAG4AIAAgACAAIABMAEUAVAAoAFwAbgAgACAAIAAgACAAIAAgACAAdABhAHIAZwBlAHQALAAgAEkARgAoAEwARQBOACgAdABhAHIAZwBlAHQAKQAgAD4AIAAxACwAIABMAEUARgBUACgAdABhAHIAZwBlAHQALAAgADEAKQAsACAAdABhAHIAZwBlAHQAKQAsAFwAbgAgACAAIAAgACAAIAAgACAAbwB1AHQAcAB1AHQALAAgAFMAVQBNACgALQAtAEkAUwBOAFUATQBCAEUAUgAoAFMARQBBAFIAQwBIACgATQBJAEQAKABpAG4AcAB1AHQALAAgAFMARQBRAFUARQBOAEMARQAoAEwARQBOACgAaQBuAHAAdQB0ACkAKQAsACAAMQApACwAIAB0AGEAcgBnAGUAdAApACkAKQAsAFwAbgAgACAAIAAgACAAIAAgACAAbwB1AHQAcAB1AHQAXABuACAAIAAgACAAKQBcAG4AKQA7AFwAbgBcAG4ALwAqACAARgBPAFIATQBUAEUAWABUAFwAbgBcAG4AUgBlAHQAdQByAG4AcwAgAHQAaABlACAAYwBlAGwAbAAgAGEAZABkAHIAZQBzAHMAIABhAG4AZAAgAHQAaABlACAAZgBvAHIAbQB1AGwAYQAgAHQAZQB4AHQAIAB3AGkAdABoAGkAbgAgAHQAaABlACAAYwBlAGwAbABcAG4AKgAvAFwAbgBGAE8AUgBNAF8AVABFAFgAVAAgAD0AIABMAEEATQBCAEQAQQAoAGkAbgBwAHUAdAAsACAAWwBtAG8AZABlAF0ALABcAG4AIAAgACAAIABMAEUAVAAoAFwAbgAgACAAIAAgACAAIAAgACAAbQBvAGQAZQAsACAASQBGACgATwBSACgASQBTAE8ATQBJAFQAVABFAEQAKABtAG8AZABlACkALAAgAG0AbwBkAGUAIAA+ACAAMQApACwAIAAwACwAIABtAG8AZABlACkALABcAG4AIAAgACAAIAAgACAAIAAgAGYAXwB0AGUAeAB0ACwAIABGAE8AUgBNAFUATABBAFQARQBYAFQAKABpAG4AcAB1AHQAKQAsAFwAbgAgACAAIAAgACAAIAAgACAAZgBfAGwAZQBuACwAIABMAEUATgAoAGYAXwB0AGUAeAB0ACkAIAAtACAAMQAsAFwAbgAgACAAIAAgACAAIAAgACAAdABfAG8AdQB0ACwAIABSAEkARwBIAFQAKABmAF8AdABlAHgAdAAsACAAZgBfAGwAZQBuACkALABcAG4AIAAgACAAIAAgACAAIAAgAHQAXwBvAHUAdABfAGYAaQBuACwAIABTAFUAQgBTAFQASQBUAFUAVABFACgAdABfAG8AdQB0ACwAIABcACIAJABcACIALAAgAFwAIgBcACIAKQAsAFwAbgAgACAAIAAgACAAIAAgACAAYwBlAGwAbABfAG4AYQBtAGUALAAgAFMAVQBCAFMAVABJAFQAVQBUAEUAKABDAEUATABMACgAXAAiAGEAZABkAHIAZQBzAHMAXAAiACwAIABpAG4AcAB1AHQAKQAsACAAXAAiACQAXAAiACwAIABcACIAXAAiACkALABcAG4AIAAgACAAIAAgACAAIAAgAG8AdQB0AHAAdQB0ACwAIABJAEYAKABJAFMARgBPAFIATQBVAEwAQQAoAGkAbgBwAHUAdAApACwAIABDAE8ATgBDAEEAVAAoAGMAZQBsAGwAXwBuAGEAbQBlACwAIABcACIAOgA9ACAAXAAiACwAIAB0AF8AbwB1AHQAXwBmAGkAbgApACwAIABcACIAIwBGAE8AUgBNACEAXAAiACkALABcAG4AIAAgACAAIAAgACAAIAAgAHIAZQB0AHUAcgBuACwAIABJAEYAKABtAG8AZABlACAAPQAgADAALAAgAFQARQBYAFQAQQBGAFQARQBSACgAVABFAFgAVABCAEUARgBPAFIARQAoAG8AdQB0AHAAdQB0ACwAIABcACIAKABcACIAKQAsACAAXAAiACAAXAAiACkALAAgAG8AdQB0AHAAdQB0ACkALABcAG4AIAAgACAAIAAgACAAIAAgAHIAZQB0AHUAcgBuAFwAbgAgACAAIAAgACkAXABuACkAOwBcAG4AXABuAFMAVABSAEkAUABfAEMASABBAFIAUwAgAD0AIABMAEEATQBCAEQAQQAoAGkAbgBwAHUAdAAsAFwAbgAgACAAIAAgAFwAbgAgACAAIAAgAC8ALwAgAEsAZQBlAHAAIABhAHMAIABhAG4AIABlAHgAYQBtAHAAbABlACAAbwBmACAAcgBlAGMAdQByAHMAaQB2AGUAIABjAG8AZABpAG4AZwBcAG4AIAAgACAAIABJAEYAKABcAG4AIAAgACAAIAAgACAAIAAgAEkAUwBFAFIAUgBPAFIAKABTAEUAQQBSAEMASAAoAFwAIgAoAFwAIgAsACAAaQBuAHAAdQB0ACkAKQAsAFwAbgAgACAAIAAgACAAIAAgACAAaQBuAHAAdQB0ACwAXABuACAAIAAgACAAIAAgACAAIABMAEUAVAAoAFwAbgAgACAAIAAgACAAIAAgACAAIAAgACAAIABmAGkAcgBzAHQAXwBmAGkAbgBkACwAIABTAEUAQQBSAEMASAAoAFwAIgAoAFwAIgAsACAAaQBuAHAAdQB0ACkALABcAG4AIAAgACAAIAAgACAAIAAgACAAIAAgACAAcwBlAGMAbwBuAGQAXwBmAGkAbgBkACwAIABTAEUAQQBSAEMASAAoAFwAIgApAFwAIgAsACAAaQBuAHAAdQB0ACkALABcAG4AIAAgACAAIAAgACAAIAAgACAAIAAgACAAbgBlAHcAXwBzAHQAcgBpAG4AZwAsACAATABFAEYAVAAoAGkAbgBwAHUAdAAsACAAZgBpAHIAcwB0AF8AZgBpAG4AZAAgAC0AIAAxACkAIAAmACAATQBJAEQAKABpAG4AcAB1AHQALAAgAHMAZQBjAG8AbgBkAF8AZgBpAG4AZAAgACsAIAAxACwAIABMAEUATgAoAGkAbgBwAHUAdAApACkALABcAG4AIAAgACAAIAAgACAAIAAgACAAIAAgACAAUwBUAFIASQBQAF8AQwBIAEEAUgBTACgAbgBlAHcAXwBzAHQAcgBpAG4AZwApAFwAbgAgACAAIAAgACAAIAAgACAAKQBcAG4AIAAgACAAIAApAFwAbgApADsAXABuAFwAbgBGAE8AUgBNAFQARQBYAFQAIAA9ACAATABBAE0AQgBEAEEAKABpAG4AcAB1AHQALAAgAFsAbQBvAGQAZQBdACwAXABuACAAIAAgACAATABFAFQAKABcAG4AIAAgACAAIAAgACAAIAAgAHIAZQBjAHAAdAAsACAARgBPAFIATQBVAEwAQQBUAEUAWABUACgAaQBuAHAAdQB0ACkALABcAG4AIAAgACAAIAAgACAAIAAgAG0AbwBkAGUALAAgAEkARgAoAE8AUgAoAEkAUwBPAE0ASQBUAFQARQBEACgAbQBvAGQAZQApACwAIABtAG8AZABlACAAPgAgADIAKQAsACAAMAAsACAAbQBvAGQAZQApACwAXABuACAAIAAgACAAIAAgACAAIABjAGgAZQBjAGsAdgBhAGwALAAgAEkAUwBOAFUATQBCAEUAUgAoAFMARQBBAFIAQwBIACgAXAAiACgAXAAiACwAIAByAGUAYwBwAHQAKQApACwAXABuACAAIAAgACAAIAAgACAAIABjAGUAbABsAF8AbgBhAG0AZQAsACAAUwBVAEIAUwBUAEkAVABVAFQARQAoAEMARQBMAEwAKABcACIAYQBkAGQAcgBlAHMAcwBcACIALAAgAGkAbgBwAHUAdAApACwAIABcACIAJABcACIALAAgAFwAIgBcACIAKQAsAFwAbgAgACAAIAAgACAAIAAgACAAbABpAHMAdAAsACAASQBGACgATgBPAFQAKABjAGgAZQBjAGsAdgBhAGwAKQAsACAAcgBlAGMAcAB0ACwAIABUAEUAWABUAFMAUABMAEkAVAAoAHIAZQBjAHAAdAAsACAAXAAiACkAXAAiACkAKQAsAFwAbgAgACAAIAAgACAAIAAgACAAcgBlAHMAdQBsAHQALAAgAEkARgAoAGMAaABlAGMAawB2AGEAbAAsACAAQgBZAEMATwBMACgAbABpAHMAdAAsACAATABBAE0AQgBEAEEAKAB4ACwAIABUAEUAWABUAEIARQBGAE8AUgBFACgAeAAsACAAXAAiACgAXAAiACwAIAAsACAALAAgACwAIABcACIAXAAiACkAKQApACwAIABsAGkAcwB0ACkALABcAG4AIAAgACAAIAAgACAAIAAgAGMAbwBsAGwAZQBjAHQAZQBkACwAIABUAEUAWABUAEoATwBJAE4AKABcACIAXAAiACwAIAAsACAASQBOAEQARQBYACgAcgBlAHMAdQBsAHQALAAgAFMARQBRAFUARQBOAEMARQAoAEMATwBVAE4AVABBACgAcgBlAHMAdQBsAHQAKQApACkAKQAsAFwAbgAgACAAIAAgACAAIAAgACAAbwB1AHQAcAB1AHQALAAgAFMAVwBJAFQAQwBIACgAXABuACAAIAAgACAAIAAgACAAIAAgACAAIAAgAG0AbwBkAGUALABcAG4AIAAgACAAIAAgACAAIAAgACAAIAAgACAAMAAsACAAYwBvAGwAbABlAGMAdABlAGQALABcAG4AIAAgACAAIAAgACAAIAAgACAAIAAgACAAMQAsACAAQwBPAE4AQwBBAFQAKABjAGUAbABsAF8AbgBhAG0AZQAsACAAXAAiADoAPQAgAFwAIgAsACAAUwBVAEIAUwBUAEkAVABVAFQARQAoAGMAbwBsAGwAZQBjAHQAZQBkACwAIABcACIAPQBcACIALAAgAFwAIgBcACIAKQApACwAXABuACAAIAAgACAAIAAgACAAIAAgACAAIAAgADIALAAgAEMATwBOAEMAQQBUACgAYwBlAGwAbABfAG4AYQBtAGUALAAgAFwAIgA6AD0AIABcACIALAAgAFMAVQBCAFMAVABJAFQAVQBUAEUAKAByAGUAYwBwAHQALAAgAFwAIgA9AFwAIgAsACAAXAAiAFwAIgApACkAXABuACAAIAAgACAAIAAgACAAIAApACwAXABuACAAIAAgACAAIAAgACAAIABvAHUAdABwAHUAdABcAG4AIAAgACAAIAApAFwAbgApADsAXABuAFwAbgBHAEUAVABDAEUATABMACAAPQAgAEwAQQBNAEIARABBACgAaQBuAHAAdQB0ACwAIABTAFUAQgBTAFQASQBUAFUAVABFACgAQQBEAEQAUgBFAFMAUwAoAFIATwBXACgAaQBuAHAAdQB0ACkALAAgAEMATwBMAFUATQBOACgAaQBuAHAAdQB0ACkAKQAsACAAXAAiACQAXAAiACwAIABcACIAXAAiACkAKQA7AFwAbgBcAG4AWQBBAEgAVABaAEUARQAgAD0AIABMAEEATQBCAEQAQQAoAFsAbgB1AGwAbABdACwAXABuACAAIAAgACAATABFAFQAKABhAHIAcgBhAHkALAAgAE0AQQBLAEUAQQBSAFIAQQBZACgAMQAsACAANQAsACAATABBAE0AQgBEAEEAKAByACwAIABjACwAIABSAEEATgBEAEIARQBUAFcARQBFAE4AKAAxACwAIAA2ACkAKQApACwAIABUAEUAWABUAEoATwBJAE4AKABcACIALQBcACIALAAgACwAIABhAHIAcgBhAHkAKQApAFwAbgApADsAXABuAFwAbgBEAF8ATgBf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G4AdQBtAHMAXABuACAAIAAgACAAKQBcAG4AKQA7AFwAbgBcAG4ARABOAEQAIAA9ACAATABBAE0AQgBEAEEAKABbAGQAaQBjAGUAXQAsACAAWwBrAGkAbgBkAF0ALABcAG4AIAAgACAAIABMAEUAVAAoAFwAbgAgACAAIAAgACAAIAAgACAAZABpAGMAZQAsACAASQBGACgASQBTAE8ATQBJAFQAVABFAEQAKABkAGkAYwBlACkALAAgADMALAAgAGQAaQBjAGUAKQAsAFwAbgAgACAAIAAgACAAIAAgACAAawBpAG4AZAAsACAASQBGACgASQBTAE8ATQBJAFQAVABFAEQAKABrAGkAbgBkACkALAAgADYALAAgAGsAaQBuAGQAKQAsAFwAbgAgACAAIAAgACAAIAAgACAAbgB1AG0AcwAsACAATQBBAEsARQBBAFIAUgBBAFkAKAAxACwAIABkAGkAYwBlACwAIABMAEEATQBCAEQAQQAoAHIALAAgAGMALAAgAFIAQQBOAEQAQgBFAFQAVwBFAEUATgAoADEALAAgAGsAaQBuAGQAKQApACkALABcAG4AIAAgACAAIAAgACAAIAAgAFMAVQBNACgAbgB1AG0AcwApAFwAbgAgACAAIAAgACkAXABuACkAOwBcAG4AXABuAC8AKgAgAFIAQQBOAEQAVQBOAEkAUQBVAEUAXABuAFwAbgBHAGUAbgBlAHIAYQB0AGUAcwAgAGEAIABsAGkAcwB0ACAAbwBmACAAcgBhAG4AZABvAG0AIABuAHUAbQBiAGUAcgBzACAAdwBpAHQAaABvAHUAdAAgAHIAZQBwAGUAYQB0AHMAXABuACoALwBcAG4AUgBBAE4ARABVAE4ASQBRAFUARQAgAD0AIABMAEEATQBCAEQAQQAoAFsAbABlAG4AXQAsACAAWwBzAHQAYQByAHQAXQAsACAAWwBzAHQAZQBwAF0ALABcAG4AIAAgACAAIABMAEUAVAAoAFwAbgAgACAAIAAgACAAIAAgACAAbABlAG4ALAAgAEkARgAoAEkAUwBPAE0ASQBUAFQARQBEACgAbABlAG4AKQAsACAANQAsACAAbABlAG4AKQAsAFwAbgAgACAAIAAgACAAIAAgACAAcwB0AGEAcgB0ACwAIABJAEYAKABJAFMATwBNAEkAVABUAEUARAAoAHMAdABhAHIAdAApACwAIAAxACwAIABzAHQAYQByAHQAKQAsAFwAbgAgACAAIAAgACAAIAAgACAAcwB0AGUAcAAsACAASQBGACgASQBTAE8ATQBJAFQAVABFAEQAKABzAHQAZQBwACkALAAgADEALAAgAHMAdABlAHAAKQAsAFwAbgAgACAAIAAgACAAIAAgACAAbwB1AHQAcAB1AHQALAAgAFMATwBSAFQAQgBZACgAUwBFAFEAVQBFAE4AQwBFACgAbABlAG4ALAAgACwAIABzAHQAYQByAHQALAAgAHMAdABlAHAAKQAsACAAUgBBAE4ARABBAFIAUgBBAFkAKABsAGUAbgApACkALABcAG4AIAAgACAAIAAgACAAIAAgAG8AdQB0AHAAdQB0AFwAbgAgACAAIAAgACkAXABuACkAOwBcAG4AXABuAC8AKgAgAE4AVQBNAE0AQQBHAFwAbgBSAGUAdAB1AHIAbgBzACAAeQBlAGEAcgBzACAAdABvACAAYQAgAHAAbwB3AGUAcgAgAG8AZgAgAHQAZQBuAFwAbgAqAC8AXABuAE4AVQBNAE0AQQBHACAAPQAgAEwAQQBNAEIARABBACgAaQBuAHAAdQB0ACwAIABbAGQAZQBjAHAAcgBlAGMAXQAsAFwAbgAgACAAIAAgAEwARQBUACgAXABuACAAIAAgACAAIAAgACAAIABtAGEAeAAsACAAMwAwACwAXABuACAAIAAgACAAIAAgACAAIABkAGUAYwBwAHIAZQBjACwAIABJAEYAKABJAFMATwBNAEkAVABUAEUARAAoAGQAZQBjAHAAcgBlAGMAKQAsACAAMwAsACAAZABlAGMAcAByAGUAYwApACwAXABuACAAIAAgACAAIAAgACAAIABpAG4AcAB1AHQALAAgAEEAQgBTACgAaQBuAHAAdQB0ACkALABcAG4AIAAgACAAIAAgACAAIAAgAHAAbwB3AGUAcgAsACAAVABSAFUATgBDACgATABPAEcAKABpAG4AcAB1AHQAKQApACwAXABuACAAIAAgACAAIAAgACAAIABjAGEAdABlAGcAbwByAHkALAAgAE0ATwBEACgAcABvAHcAZQByACwAIAAzACkALABcAG4AIAAgACAAIAAgACAAIAAgAGQAaQB2AGkAcwBvAHIALAAgAFMAVwBJAFQAQwBIACgAYwBhAHQAZQBnAG8AcgB5ACwAIAAwACwAIABwAG8AdwBlAHIALAAgADEALAAgAHAAbwB3AGUAcgAgAC0AIAAxACwAIAAyACwAIABwAG8AdwBlAHIAIAAtACAAMgApACwAXABuACAAIAAgACAAIAAgACAAIABhAGQAagB1AHMAdAAsACAASQBGAFMAKABkAGkAdgBpAHMAbwByACAAPAA9ACAAbQBhAHgALAAgADEAMAAgAF4AIABkAGkAdgBpAHMAbwByACwAIABkAGkAdgBpAHMAbwByACAAPgAgAG0AYQB4ACwAIAAxADAAIABeACAAbQBhAHgAKQAsAFwAbgAgACAAIAAgACAAIAAgACAAdgBhAGwAdQBlACwAIABpAG4AcAB1AHQAIAAvACAAYQBkAGoAdQBzAHQALABcAG4AIAAgACAAIAAgACAAIAAgAHMAdQBmAGYALAAgAFMAVwBJAFQAQwBIACgAXABuACAAIAAgACAAIAAgACAAIAAgACAAIAAgAGQAaQB2AGkAcwBvAHIALABcAG4AIAAgACAAIAAgACAAIAAgACAAIAAgACAAMAAsACAAXAAiABQgXAAiACwAXABuACAAIAAgACAAIAAgACAAIAAgACAAIAAgADMALAAgAFwAIgBrAFwAIgAsAFwAbgAgACAAIAAgACAAIAAgACAAIAAgACAAIAA2ACwAIABcACIATQBcACIALABcAG4AIAAgACAAIAAgACAAIAAgACAAIAAgACAAOQAsACAAXAAiAEcAXAAiACwAXABuACAAIAAgACAAIAAgACAAIAAgACAAIAAgADEAMgAsACAAXAAiAFQAXAAiACwAXABuACAAIAAgACAAIAAgACAAIAAgACAAIAAgADEANQAsACAAXAAiAFAAXAAiACwAXABuACAAIAAgACAAIAAgACAAIAAgACAAIAAgADEAOAAsACAAXAAiAEUAXAAiACwAXABuACAAIAAgACAAIAAgACAAIAAgACAAIAAgADIAMQAsACAAXAAiAFoAXAAiACwAXABuACAAIAAgACAAIAAgACAAIAAgACAAIAAgADIANAAsACAAXAAiAFkAXAAiACwAXABuACAAIAAgACAAIAAgACAAIAAgACAAIAAgADIANwAsACAAXAAiAFIAXAAiACwAXABuACAAIAAgACAAIAAgACAAIAAgACAAIAAgAFwAIgBRAFwAIgBcAG4AIAAgACAAIAAgACAAIAAgACkALABcAG4AIAAgACAAIAAgACAAIAAgAEYASQBYAEUARAAoAHYAYQBsAHUAZQAsACAAZABlAGMAcAByAGUAYwAsACAAVABSAFUARQApACAAJgAgAFwAIgAgAFwAIgAgACYAIABzAHUAZgBmAFwAbgAgACAAIAAgACAAIAAgACAALwAqAGQAaQB2AGkAcwBvAHIAIAAmACAAXAAiACAAXAAiACAAJgAgAGEAZABqAHUAcwB0ACAAJgAgAFwAIgAgAFwAIgAgACYAIAB2AGEAbAB1AGUAIAAmACAAXAAiACAAXAAiACAAJgAgAHMAdQBmAGYAKgAvAFwAbgAgACAAIAAgACAAIAAgACAAXABuACAAIAAgACAAKQBcAG4AKQA7AFwAbgBcAG4ALwAqACAATgBVAE0AUABPAFcAUgBcAG4AUgBlAHQAdQByAG4AcwAgAG0AYQBnAG4AaQB0AHUAZABlACAAbwBmACAAYQAgAG4AdQBtAGIAZQByACAAZQB4AHAAcgBlAHMAcwBlAGQAIABhAHMAIABhACAAcABvAHcAZQByACAAbwBmACAAdABlAG4AXABuACoALwBcAG4ATgBVAE0AUABPAFcAUgAgAD0AIABMAEEATQBCAEQAQQAoAGkAbgBwAHUAdAAsACAAWwBtAG8AZABlAF0ALABcAG4AIAAgACAAIABMAEUAVAAoAFwAbgAgACAAIAAgACAAIAAgACAAbQBvAGQAZQAsACAASQBGACgAKABtAG8AZABlACAAPgAgADIAKQAgACsAIAAoAEkAUwBPAE0ASQBUAFQARQBEACgAbQBvAGQAZQApACkALAAgADAALAAgAG0AbwBkAGUAKQAsAFwAbgAgACAAIAAgACAAIAAgACAAbQBhAGcALAAgAFQAUgBVAE4AQwAoAEwATwBHACgAaQBuAHAAdQB0ACkAKQAsAFwAbgAgACAAIAAgACAAIAAgACAAcABvAHcAZQByACwAIABTAFcASQBUAEMASAAoAFwAbgAgACAAIAAgACAAIAAgACAAIAAgACAAIABtAG8AZABlACwAXABuACAAIAAgACAAIAAgACAAIAAgACAAIAAgADAALAAgAFQARQBYAFQASgBPAEkATgAoAFwAIgBcACIALAAgACwAIABcACIARQArAFwAIgAsACAAVABFAFgAVAAoAG0AYQBnACwAIABcACIAMAAwAFwAIgApACkALABcAG4AIAAgACAAIAAgACAAIAAgACAAIAAgACAAMQAsACAAVABFAFgAVABKAE8ASQBOACgAXAAiAFwAIgAsACAALAAgAFwAIgAxADAAXgBcACIALAAgAG0AYQBnACkALABcAG4AIAAgACAAIAAgACAAIAAgACAAIAAgACAAMgAsACAAVABFAFgAVAAoAFAATwBXAEUAUgAoADEAMAAsACAAVABSAFUATgBDACgATABPAEcAKABpAG4AcAB1AHQAKQApACkALAAgAFwAIgAwAEUAKwAwADAAXAAiACkALABcAG4AIAAgACAAIAAgACAAIAAgACAAIAAgACAAXABuACAAIAAgACAAIAAgACAAIAApACwAXABuACAAIAAgACAAIAAgACAAIABwAG8AdwBlAHIAXABuACAAIAAgACAAKQBcAG4AKQA7AFwAbgBcAG4ALwAqACAARQBOAEcATgBPAFQARQBcAG4AUgBlAHQAdQByAG4AcwAgAHkAZQBhAHIAcwAgAHQAbwAgAGEAIABwAG8AdwBlAHIAIABvAGYAIAB0AGUAbgBcAG4AQwB1AHMAdABvAG0AIABuAHUAbQBiAGUAcgAgAGYAbwByAG0AYQB0ADoAIAAjACMAMAAuADAARQArADAAMABcAG4AXABuACoALwBcAG4ARQBOAEcATgBPAFQARQAgAD0AIABMAEEATQBCAEQAQQAoAGkAbgBwAHUAdAAsACAAWwBwAHIAZQBjAF0ALABcAG4AIAAgACAAIABMAEUAVAAoAFwAbgAgACAAIAAgACAAIAAgACAAcAB1AG4AYwB0ACwAIABJAEYARQBSAFIATwBSACgAUwBFAEEAUgBDAEgAKABcACIALgBcACIALAAgAGkAbgBwAHUAdAApACwAIAAwACkALABcAG4AIAAgACAAIAAgACAAIAAgAGwAbwBjACwAIABJAEYAKABwAHUAbgBjAHQAIAA9ACAAMAAsACAAMAAsACAATABFAE4AKABpAG4AcAB1AHQAKQAgAC0AIABwAHUAbgBjAHQAKQAsAFwAbgAgACAAIAAgACAAIAAgACAAcAByAGUAYwAsACAASQBGACgASQBTAE8ATQBJAFQAVABFAEQAKABwAHIAZQBjACkALAAgADIALAAgAHAAcgBlAGMAKQAsAFwAbgAgACAAIAAgACAAIAAgACAAcABvAHcAZQByACwAIABUAFIAVQBOAEMAKABMAE8ARwAxADAAKABpAG4AcAB1AHQAKQApACwAXABuACAAIAAgACAAIAAgACAAIABkAGkAdgBpAHMAbwByACwAIABNAEEAWAAoADAALAAgAHAAbwB3AGUAcgAgAC0AIABNAE8ARAAoAHAAbwB3AGUAcgAsACAAMwApACkALABcAG4AIAAgACAAIAAgACAAIAAgAGEAZABqAHUAcwB0ACwAIAAxADAAIABeACAAZABpAHYAaQBzAG8AcgAsAFwAbgAgACAAIAAgACAAIAAgACAAdgBhAGwAdQBlACwAIABSAE8AVQBOAEQAKABpAG4AcAB1AHQAIAAvACAAYQBkAGoAdQBzAHQALAAgAHAAcgBlAGMAKQAsAFwAbgAgACAAIAAgACAAIAAgACAAcwB1AGYAZgAsACAAXAAiAEUAKwBcACIAIAAmACAAVABFAFgAVAAoAGQAaQB2AGkAcwBvAHIALAAgAFIARQBQAFQAKABcACIAMABcACIALAAgADIAKQApACwAXABuACAAIAAgACAAIAAgACAAIAAvACoARgBJAFgARQBEACgAdgBhAGwAdQBlACwAIABJAEYAKABwAHUAbgBjAHQAIAA9ACAAMAAsACAATABFAE4AKABpAG4AcAB1AHQAKQAsACAAbABvAGMAKQAsACAAVABSAFUARQApACAAJgAgAHMAdQBmAGYAKgAvAFwAbgAgACAAIAAgACAAIAAgACAAbwB1AHQAcAB1AHQALAAgAFQARQBYAFQASgBPAEkATgAoAFwAIgBcACIALAAgACwAIABGAEkAWABFAEQAKAB2AGEAbAB1AGUALAAgAHAAcgBlAGMAKQAsACAAcwB1AGYAZgApACwAXABuACAAIAAgACAAIAAgACAAIABvAHUAdABwAHUAdABcAG4AIAAgACAAIAApAFwAbgApADsAXABuAFwAbgAvACoAIABJAE4AQwBSAEQARQBDAFIAXABuAGkAbgBjAHIAZQBtAGUAbgB0AC8AZABlAGMAcgBlAG0AZQBuAHQAIABiAHkAIABhACAAZwBpAHYAZQBuACAAaQBuAHQAZQByAHYAYQBsAFwAbgAqAC8AXABuAEkATgBDAFIARABFAEMAUgAgAD0AIABMAEEATQBCAEQAQQAoAGkAbgBwAHUAdAAsACAAaQBuAHQAZQByAHYAYQBsACwAIABpAG4AcAB1AHQAIAArACAAaQBuAHQAZQByAHYAYQBsACkAOwBcAG4AXABuAC8AKgAgAFAATwBMAFkAUgBPAE8AVABTAFwAbgBSAGUAdAB1AHIAbgBzACAAdABoAGUAIAByAG8AbwB0AHMAIABvAGYAIABhACAAcABvAGwAeQBuAG8AbQBpAGEAbABcAG4AKgAvAFwAbgBQAE8ATABZAFIATwBPAFQAUwAgAD0AIABMAEEATQBCAEQAQQAoAGEALAAgAGIALAAgAGMALABcAG4AIAAgACAAIABMAEUAVAAoAFwAbgAgACAAIAAgACAAIAAgACAAZABpAHMAYwByAGkAbQAsACAAYgAgAF4AIAAyACAALQAgADQAIAAqACAAYQAgACoAIABjACwAXABuACAAIAAgACAAIAAgACAAIAB4AF8AMQAsACAASQBGACgAZABpAHMAYwByAGkAbQAgAD4APQAgADAALAAgACgALQBiACAAKwAgAFMAUQBSAFQAKABkAGkAcwBjAHIAaQBtACkAKQAgAC8AIAAoADIAIAAqACAAYQApACwAIABcACIAXAAiACkALABcAG4AIAAgACAAIAAgACAAIAAgAHgAXwAyACwAIABJAEYAKABkAGkAcwBjAHIAaQBtACAAPgAgADAALAAgACgALQBiACAALQAgAFMAUQBSAFQAKABkAGkAcwBjAHIAaQBtACkAKQAgAC8AIAAoADIAIAAqACAAYQApACwAIABcACIAXAAiACkALABcAG4AIAAgACAAIAAgACAAIAAgAG8AdQB0AHAAdQB0ACwAIABJAEYAKABcAG4AIAAgACAAIAAgACAAIAAgACAAIAAgACAAZABpAHMAYwByAGkAbQAgADwAIAAwACwAXABuACAAIAAgACAAIAAgACAAIAAgACAAIAAgAFwAIgBOAE8ATgBFAFwAIgAsAFwAbgAgACAAIAAgACAAIAAgACAAIAAgACAAIABJAEYAKABcAG4AIAAgACAAIAAgACAAIAAgACAAIAAgACAAIAAgACAAIABkAGkAcwBjAHIAaQBtACAAPQAgADAALABcAG4AIAAgACAAIAAgACAAIAAgACAAIAAgACAAIAAgACAAIAB4AF8AMQAsAFwAbgAgACAAIAAgACAAIAAgACAAIAAgACAAIAAgACAAIAAgAFQAUgBBAE4AUwBQAE8AUwBFACgAVABFAFgAVABTAFAATABJAFQAKABGAEkAWABFAEQAKAB4AF8AMQAsACAAMwApACAAJgAgAEkARgAoAHgAXwAyACAAPAA+ACAAXAAiAFwAIgAsACAAXAAiACAAXAAiACAAJgAgAEYASQBYAEUARAAoAHgAXwAyACwAIAAzACkALAAgAFwAIgBcACIAKQAsACAAXAAiACAAXAAiACkAKQBcAG4AIAAgACAAIAAgACAAIAAgACAAIAAgACAAKQBcAG4AIAAgACAAIAAgACAAIAAgACkALABcAG4AIAAgACAAIAAgACAAIAAgAG8AdQB0AHAAdQB0AFwAbgAgACAAIAAgACkAXABuACkAOwBcAG4AXABuAC8AKgAgAEEAUABQAFIATwBYAEkATQBBAFQARQBfAEYAUgBBAEMAVABJAE8ATgBcAG4AQwBvAG4AdgBlAHIAdABzACAAYQAgAGQAZQBjAGkAbQBhAGwAIABuAHUAbQBiAGUAcgAgAGkAbgB0AG8AIABhAG4AIABhAHAAcAByAG8AeABpAG0AYQB0AGUAIABmAHIAYQBjAHQAaQBvAG4AIABvAGYAIAB0AGgAZQAgAGcAaQB2AGUAbgAgAHAAcgBlAGMAaQBzAGkAbwBuAFwAbgAqAC8AXABuAEEAUABQAFIATwBYAEkATQBBAFQARQBfAEYAUgBBAEMAVABJAE8ATgAgAD0AIABMAEEATQBCAEQAQQAoAGkAbgBwAHUAdAAsACAAWwBtAG8AZABlAF0ALAAgAFsAcAByAGUAYwBdACwAXABuACAAIAAgACAATABFAFQAKABcAG4AIAAgACAAIAAgACAAIAAgAG0AbwBkAGUALAAgAEkARgAoACgAbQBvAGQAZQAgAD4AIAAxACkAIAArACAAKABJAFMATwBNAEkAVABUAEUARAAoAG0AbwBkAGUAKQApACwAIAAwACwAIABtAG8AZABlACkALABcAG4AIAAgACAAIAAgACAAIAAgAHAAcgBlAGMALAAgAEkARgAoAEkAUwBPAE0ASQBUAFQARQBEACgAcAByAGUAYwApACwAIAAzACwAIABwAHIAZQBjACkALABcAG4AIAAgACAAIAAgACAAIAAgAGYAbQB0ACwAIABDAE8ATgBDAEEAVAAoAFwAIgA/AC8AXAAiACwAIABSAEUAUABUACgAXAAiAD8AXAAiACwAIABwAHIAZQBjACkAKQAsAFwAbgAgACAAIAAgACAAIAAgACAAZgByAGEAYwB0AGkAbwBuACwAIABTAFcASQBUAEMASAAoAG0AbwBkAGUALAAgADAALAAgAFQARQBYAFQAKABpAG4AcAB1AHQALAAgAGYAbQB0ACkALAAgADEALAAgAFQARQBYAFQAKABNAE8ARAAoAGkAbgBwAHUAdAAsACAAMQApACwAIABmAG0AdAApACkALABcAG4AIAAgACAAIAAgACAAIAAgAG8AdQB0AHAAdQB0ACwAIABTAFcASQBUAEMASAAoAFwAbgAgACAAIAAgACAAIAAgACAAIAAgACAAIABtAG8AZABlACwAXABuACAAIAAgACAAIAAgACAAIAAgACAAIAAgADAALAAgAGYAcgBhAGMAdABpAG8AbgAsAFwAbgAgACAAIAAgACAAIAAgACAAIAAgACAAIAAxACwAIABJAEYAKABRAFUATwBUAEkARQBOAFQAKABpAG4AcAB1AHQALAAgADEAKQAgADwAPgAgADAALAAgAFQARQBYAFQASgBPAEkATgAoAFwAIgAtAFwAIgAsACAALAAgAFEAVQBPAFQASQBFAE4AVAAoAGkAbgBwAHUAdAAsACAAMQApACwAIABmAHIAYQBjAHQAaQBvAG4AKQAsACAAZgByAGEAYwB0AGkAbwBuACkAXABuACAAIAAgACAAIAAgACAAIAApACwAXABuACAAIAAgACAAIAAgACAAIABvAHUAdABwAHUAdABcAG4AIAAgACAAIAApAFwAbgApADsAXABuAFwAbgAvACoAIABUAE8ARgBSAEEAQwBcAG4AQwBvAG4AdgBlAHIAdABzACAAYQAgAGQAZQBjAGkAbQBhAGwAIABuAHUAbQBiAGUAcgAgAHQAbwAgAGEAbgAgAGEAcABwAHIAbwB4AGkAbQBhAHQAZQAgAGYAcgBhAGMAdABpAG8AbgAgAHcAaQB0AGgAIAB0AGgAZQAgAHMAcABlAGMAaQBmAGkAZQBkACAAZABlAG4AbwBtAGkAbgBhAHQAbwByAFwAbgAqAC8AXABuAFQATwBGAFIAQQBDACAAPQAgAEwAQQBNAEIARABBACgAaQBuAHAAdQB0ACwAIABbAGQAZQBuAG8AbQBdACwAXABuACAAIAAgACAATABFAFQAKABcAG4AIAAgACAAIAAgACAAIAAgAGQAZQBuAG8AbQAsACAASQBGACgASQBTAE8ATQBJAFQAVABFAEQAKABkAGUAbgBvAG0AKQAsACAANgA0ACwAIABUAFIAVQBOAEMAKABkAGUAbgBvAG0AKQApACwAXABuACAAIAAgACAAIAAgACAAIABjAG8AbQBmAGEAYwB0ACwAIABHAEMARAAoAFQAUgBVAE4AQwAoAGkAbgBwAHUAdAAgACoAIABkAGUAbgBvAG0AKQAsACAAZABlAG4AbwBtACkALABcAG4AIAAgACAAIAAgACAAIAAgAG4AdQBtAGYAaQBuAGEAbAAsACAAVABSAFUATgBDACgAaQBuAHAAdQB0ACAAKgAgAGQAZQBuAG8AbQAgAC8AIABjAG8AbQBmAGEAYwB0ACkALABcAG4AIAAgACAAIAAgACAAIAAgAGQAZQBuAG8AbQBmAGkAbgBhAGwALAAgAGQAZQBuAG8AbQAgAC8AIABjAG8AbQBmAGEAYwB0ACwAXABuACAAIAAgACAAIAAgACAAIABvAHUAdABwAHUAdAAsACAASQBGACgAbgB1AG0AZgBpAG4AYQBsACAAPQAgADAALAAgAFwAIgAjAE4ATwBOAEUAIQBcACIALAAgAFQARQBYAFQAKABuAHUAbQBmAGkAbgBhAGwALAAgAFwAIgAwAFwAIgApACAAJgAgAFwAIgAvAFwAIgAgACYAIABUAEUAWABUACgAZABlAG4AbwBtAGYAaQBuAGEAbAAsACAAXAAiADAAXAAiACkAKQAsAFwAbgAgACAAIAAgACAAIAAgACAAbwB1AHQAcAB1AHQAXABuACAAIAAgACAAKQBcAG4AKQA7AFwAbgBcAG4ALwAqACAAVABPAF8ATQBBAE4AVABJAFMAUwBBAFwAbgBDAG8AbgB2AGUAcgB0ACAAYQBuAHkAIABuAHUAbQBlAHIAaQBjACAAaQBuAHAAdQB0ACAAaQBuAHQAbwAgAGEAIABmAHIAYQBjAHQAaQBvAG4AIABiAGUAdAB3AGUAZQBuACAAMAAgAGEAbgBkACAAMQBcAG4AKgAvAFwAbgBUAE8AXwBNAEEATgBUAEkAUwBTAEEAIAA9ACAATABBAE0AQgBEAEEAKABpAG4AcAB1AHQALAAgAFsAcAByAGUAYwBpAHMAaQBvAG4AXQAsAFwAbgAgACAAIAAgAEwARQBUACgAXABuACAAIAAgACAAIAAgACAAIABwAHIAZQBjAGkAcwBpAG8AbgAsACAASQBGACgASQBTAE8ATQBJAFQAVABFAEQAKABwAHIAZQBjAGkAcwBpAG8AbgApACwAIABMAEUATgAoAGkAbgBwAHUAdAApACAAKwAgADMALAAgAHAAcgBlAGMAaQBzAGkAbwBuACkALABcAG4AIAAgACAAIAAgACAAIAAgAG8AdQB0AHAAdQB0ACwAIABJAEYAKABpAG4AcAB1AHQAIAA8ACAAMQAsACAAaQBuAHAAdQB0ACwAIABpAG4AcAB1AHQAIAAvACAAMQAwACAAXgAgACgAVABSAFUATgBDACgATABPAEcAKABpAG4AcAB1AHQAKQApACAAKwAgADEAKQApACwAXABuACAAIAAgACAAIAAgACAAIABvAHUAdABwAHUAdABcAG4AIAAgACAAIAApAFwAbgApADsAXABuAFwAbgAvACoAIABWAEUATgBOAFwAbgBcAG4AQwBvAG0AcABhAHIAZQBzACAAdAB3AG8AIABsAGkAcwB0AHMAXABuACoALwBcAG4AVgBFAE4ATgAgAD0AIABMAEEATQBCAEQAQQAoAGMAbwBuAHQAcgBvAGwALAAgAHQAZQBzAHQALABcAG4AIAAgACAAIABMAEUAVAAoAFwAbgAgACAAIAAgACAAIAAgACAAYwBvAG4AdAByAG8AbABfAGMAbwB1AG4AdAAsACAAQwBPAFUATgBUAEEAKABjAG8AbgB0AHIAbwBsACkALABcAG4AIAAgACAAIAAgACAAIAAgAHQAZQBzAHQAXwBjAG8AdQBuAHQALAAgAEMATwBVAE4AVABBACgAdABlAHMAdAApACwAXABuACAAIAAgACAAIAAgACAAIAB4AF8AbABpAHMAdAAsACAAWABNAEEAVABDAEgAKAB0AGUAcwB0ACwAIABjAG8AbgB0AHIAbwBsACkALABcAG4AIAAgACAAIAAgACAAIAAgAHgAbQBhAHQAYwBoAF8AYwBvAHUAbgB0ACwAIABDAE8AVQBOAFQAKAB4AF8AbABpAHMAdAApACwAXABuACAAIAAgACAAIAAgACAAIAB4AG0AYQB0AGMAaABfAGMAbwB1AG4AdABhACwAIABDAE8AVQBOAFQAQQAoAHgAXwBsAGkAcwB0ACkALABcAG4AIAAgACAAIAAgACAAIAAgAHgAbQBhAHQAYwBoAF8AYwBvAHUAbgB0AHUALAAgAEMATwBVAE4AVAAoAFUATgBJAFEAVQBFACgAeABfAGwAaQBzAHQAKQApACwAXABuACAAIAAgACAAIAAgACAAIAB0AGUAcwB0ADAAMAAsACAAeABtAGEAdABjAGgAXwBjAG8AdQBuAHQAIAA9ACAAMAAsAFwAbgAgACAAIAAgACAAIAAgACAAdABlAHMAdAAwADEALAAgAHgAbQBhAHQAYwBoAF8AYwBvAHUAbgB0AHUAIAA9ACAAeABtAGEAdABjAGgAXwBjAG8AdQBuAHQALABcAG4AIAAgACAAIAAgACAAIAAgAHQAZQBzAHQAMAAyACwAIAB0AGUAcwB0AF8AYwBvAHUAbgB0ACAAPQAgAHgAbQBhAHQAYwBoAF8AYwBvAHUAbgB0ACwAXABuACAAIAAgACAAIAAgACAAIAB0AGUAcwB0ADAAMwAsACAAeABtAGEAdABjAGgAXwBjAG8AdQBuAHQAIAA8AD0AIAB4AG0AYQB0AGMAaABfAGMAbwB1AG4AdABhACwAXABuACAAIAAgACAAIAAgACAAIAB0AGUAcwB0ADAANAAsACAAdABlAHMAdABfAGMAbwB1AG4AdAAgADwAPQAgAGMAbwBuAHQAcgBvAGwAXwBjAG8AdQBuAHQALABcAG4AIAAgACAAIAAgACAAIAAgAG8AdQB0AHAAdQB0ACwAIABJAEYAKABcAG4AIAAgACAAIAAgACAAIAAgACAAIAAgACAAQQBOAEQAKAB4AG0AYQB0AGMAaABfAGMAbwB1AG4AdAAgAD0AIAAwACwAIAB0AGUAcwB0AF8AYwBvAHUAbgB0ACAAPQAgAGMAbwBuAHQAcgBvAGwAXwBjAG8AdQBuAHQALAAgAFQAUgBVAEUAKQAsAFwAbgAgACAAIAAgACAAIAAgACAAIAAgACAAIABcACIARQBRAFUASQBWAFwAIgAsAFwAbgAgACAAIAAgACAAIAAgACAAIAAgACAAIABJAEYAUwAoAFwAbgAgACAAIAAgACAAIAAgACAAIAAgACAAIAAgACAAIAAgAEEATgBEACgAXABuACAAIAAgACAAIAAgACAAIAAgACAAIAAgACAAIAAgACAAIAAgACAAIAB4AG0AYQB0AGMAaABfAGMAbwB1AG4AdAB1ACAAPQAgAHgAbQBhAHQAYwBoAF8AYwBvAHUAbgB0ACwAXABuACAAIAAgACAAIAAgACAAIAAgACAAIAAgACAAIAAgACAAIAAgACAAIAB0AGUAcwB0AF8AYwBvAHUAbgB0ACAAPQAgAHgAbQBhAHQAYwBoAF8AYwBvAHUAbgB0ACwAXABuACAAIAAgACAAIAAgACAAIAAgACAAIAAgACAAIAAgACAAIAAgACAAIAB4AG0AYQB0AGMAaABfAGMAbwB1AG4AdAAgAD0AIAB4AG0AYQB0AGMAaABfAGMAbwB1AG4AdABhACwAXABuACAAIAAgACAAIAAgACAAIAAgACAAIAAgACAAIAAgACAAIAAgACAAIAB0AGUAcwB0AF8AYwBvAHUAbgB0ACAAPQAgAGMAbwBuAHQAcgBvAGwAXwBjAG8AdQBuAHQAXABuACAAIAAgACAAIAAgACAAIAAgACAAIAAgACAAIAAgACAAKQAsAFwAbgAgACAAIAAgACAAIAAgACAAIAAgACAAIAAgACAAIAAgAFwAIgBFAFEAVQBBAEwAXAAiACwAXABuACAAIAAgACAAIAAgACAAIAAgACAAIAAgACAAIAAgACAATwBSACgAXABuACAAIAAgACAAIAAgACAAIAAgACAAIAAgACAAIAAgACAAIAAgACAAIABBAE4ARAAoAFwAbgAgACAAIAAgACAAIAAgACAAIAAgACAAIAAgACAAIAAgACAAIAAgACAAIAAgACAAIAB4AG0AYQB0AGMAaABfAGMAbwB1AG4AdAB1ACAAPAAgAHgAbQBhAHQAYwBoAF8AYwBvAHUAbgB0ACwAXABuACAAIAAgACAAIAAgACAAIAAgACAAIAAgACAAIAAgACAAIAAgACAAIAAgACAAIAAgAHQAZQBzAHQAXwBjAG8AdQBuAHQAIAA9ACAAeABtAGEAdABjAGgAXwBjAG8AdQBuAHQALABcAG4AIAAgACAAIAAgACAAIAAgACAAIAAgACAAIAAgACAAIAAgACAAIAAgACAAIAAgACAAeABtAGEAdABjAGgAXwBjAG8AdQBuAHQAIAA9ACAAeABtAGEAdABjAGgAXwBjAG8AdQBuAHQAYQAsAFwAbgAgACAAIAAgACAAIAAgACAAIAAgACAAIAAgACAAIAAgACAAIAAgACAAIAAgACAAIAB0AGUAcwB0AF8AYwBvAHUAbgB0ACAAPAA9ACAAYwBvAG4AdAByAG8AbABfAGMAbwB1AG4AdABcAG4AIAAgACAAIAAgACAAIAAgACAAIAAgACAAIAAgACAAIAAgACAAIAAgACkALABcAG4AIAAgACAAIAAgACAAIAAgACAAIAAgACAAIAAgACAAIAAgACAAIAAgAEEATgBEACgAXABuACAAIAAgACAAIAAgACAAIAAgACAAIAAgACAAIAAgACAAIAAgACAAIAAgACAAIAAgAHgAbQBhAHQAYwBoAF8AYwBvAHUAbgB0AHUAIAA8AD0AIAB4AG0AYQB0AGMAaABfAGMAbwB1AG4AdAAsAFwAbgAgACAAIAAgACAAIAAgACAAIAAgACAAIAAgACAAIAAgACAAIAAgACAAIAAgACAAIAB0AGUAcwB0AF8AYwBvAHUAbgB0ACAAPQAgAHgAbQBhAHQAYwBoAF8AYwBvAHUAbgB0ACwAXABuACAAIAAgACAAIAAgACAAIAAgACAAIAAgACAAIAAgACAAIAAgACAAIAAgACAAIAAgAHgAbQBhAHQAYwBoAF8AYwBvAHUAbgB0ACAAPQAgAHgAbQBhAHQAYwBoAF8AYwBvAHUAbgB0AGEALABcAG4AIAAgACAAIAAgACAAIAAgACAAIAAgACAAIAAgACAAIAAgACAAIAAgACAAIAAgACAAdABlAHMAdABfAGMAbwB1AG4AdAAgADwAPQAgAGMAbwBuAHQAcgBvAGwAXwBjAG8AdQBuAHQAXABuACAAIAAgACAAIAAgACAAIAAgACAAIAAgACAAIAAgACAAIAAgACAAIAApAFwAbgAgACAAIAAgACAAIAAgACAAIAAgACAAIAAgACAAIAAgACkALABcAG4AIAAgACAAIAAgACAAIAAgACAAIAAgACAAIAAgACAAIABcACIAUABSAFMAVQBCAFwAIgAsAFwAbgAgACAAIAAgACAAIAAgACAAIAAgACAAIAAgACAAIAAgAE8AUgAoAFwAbgAgACAAIAAgACAAIAAgACAAIAAgACAAIAAgACAAIAAgACAAIAAgACAAQQBOAEQAKABcAG4AIAAgACAAIAAgACAAIAAgACAAIAAgACAAIAAgACAAIAAgACAAIAAgACAAIAAgACAAeABtAGEAdABjAGgAXwBjAG8AdQBuAHQAdQAgADwAPQAgAHgAbQBhAHQAYwBoAF8AYwBvAHUAbgB0ACwAXABuACAAIAAgACAAIAAgACAAIAAgACAAIAAgACAAIAAgACAAIAAgACAAIAAgACAAIAAgAHQAZQBzAHQAXwBjAG8AdQBuAHQAIAA+ACAAeABtAGEAdABjAGgAXwBjAG8AdQBuAHQALABcAG4AIAAgACAAIAAgACAAIAAgACAAIAAgACAAIAAgACAAIAAgACAAIAAgACAAIAAgACAAeABtAGEAdABjAGgAXwBjAG8AdQBuAHQAIAA8ACAAeABtAGEAdABjAGgAXwBjAG8AdQBuAHQAYQAsAFwAbgAgACAAIAAgACAAIAAgACAAIAAgACAAIAAgACAAIAAgACAAIAAgACAAIAAgACAAIAB0AGUAcwB0AF8AYwBvAHUAbgB0ACAAPQAgAGMAbwBuAHQAcgBvAGwAXwBjAG8AdQBuAHQAXABuACAAIAAgACAAIAAgACAAIAAgACAAIAAgACAAIAAgACAAIAAgACAAIAApACwAXABuACAAIAAgACAAIAAgACAAIAAgACAAIAAgACAAIAAgACAAIAAgACAAIABBAE4ARAAoAFwAbgAgACAAIAAgACAAIAAgACAAIAAgACAAIAAgACAAIAAgACAAIAAgACAAIAAgACAAIAB4AG0AYQB0AGMAaABfAGMAbwB1AG4AdAB1ACAAPAA9ACAAeABtAGEAdABjAGgAXwBjAG8AdQBuAHQALABcAG4AIAAgACAAIAAgACAAIAAgACAAIAAgACAAIAAgACAAIAAgACAAIAAgACAAIAAgACAAdABlAHMAdABfAGMAbwB1AG4AdAAgAD4AIAB4AG0AYQB0AGMAaABfAGMAbwB1AG4AdAAsAFwAbgAgACAAIAAgACAAIAAgACAAIAAgACAAIAAgACAAIAAgACAAIAAgACAAIAAgACAAIAB4AG0AYQB0AGMAaABfAGMAbwB1AG4AdAAgADwAIAB4AG0AYQB0AGMAaABfAGMAbwB1AG4AdABhACwAXABuACAAIAAgACAAIAAgACAAIAAgACAAIAAgACAAIAAgACAAIAAgACAAIAAgACAAIAAgAHQAZQBzAHQAXwBjAG8AdQBuAHQAIAA8AD4AIABjAG8AbgB0AHIAbwBsAF8AYwBvAHUAbgB0AFwAbgAgACAAIAAgACAAIAAgACAAIAAgACAAIAAgACAAIAAgACAAIAAgACAAKQBcAG4AIAAgACAAIAAgACAAIAAgACAAIAAgACAAIAAgACAAIAApACwAXABuACAAIAAgACAAIAAgACAAIAAgACAAIAAgACAAIAAgACAAXAAiAEkATgBUAEUAUgBcACIALABcAG4AIAAgACAAIAAgACAAIAAgACAAIAAgACAAIAAgACAAIABUAFIAVQBFACwAXABuACAAIAAgACAAIAAgACAAIAAgACAAIAAgACAAIAAgACAAXAAiAEYAQQBJAEwAVQBSAEUAXAAiAFwAbgAgACAAIAAgACAAIAAgACAAIAAgACAAIAApAFwAbgAgACAAIAAgACAAIAAgACAAKQAsAFwAbgAgACAAIAAgACAAIAAgACAAbwB1AHQAcAB1AHQAXABuACAAIAAgACAAKQBcAG4AKQA7AFwAbgBcAG4ALwAqACAAVgBfAFIARQBMAEMATwBNAFAAXABuAEMAbwBtAHAAYQByAGUAcwAgAHQAdwBvACAAcgBhAG4AZwBlAHMAIABhAG4AZAAgAHIAZQB0AHUAcgBuAHMAIABhACAAbABpAHMAdAAgAG8AZgAgAGkAdABlAG0AcwAgAGkAbgAgAHQAaABlAFwAbgAgACAAIAAgAGYAaQByAHMAdAAgAHIAYQBuAGcAZQAgAHcAaABpAGMAaAAgAGEAcgBlACAAbQBpAHMAcwBpAG4AZwAgAGYAcgBvAG0AIAB0AGgAZQAgAHMAZQBjAG8AbgBkACAAcgBhAG4AZwBlAFwAbgBSAGUAdAB1AHIAbgBzACAAdABoAGUAIAByAGUAbABhAHQAaQB2AGUAIABjAG8AbQBwAGwAZQBtAGUAbgB0ADoAIABsAGkAcwB0AJwdIADCIiAAYwBoAGUAYwBrAFwAbgAqAC8AXABuAFYAXwBSAEUATABDAE8ATQBQACAAPQAgAEwAQQBNAEIARABBACgAbABpAHMAdAAsACAAYwBoAGUAYwBrACwAIABbAG0AbwBkAGUAXQAsAFwAbgAgACAAIAAgAEwARQBUACgAXABuACAAIAAgACAAIAAgACAAIABtAG8AZABlACwAIABJAEYAKABPAFIAKABJAFMATwBNAEkAVABUAEUARAAoAG0AbwBkAGUAKQAsACAAbQBvAGQAZQAgAD4AIAAxACkALAAgADAALAAgAG0AbwBkAGUAKQAsAFwAbgAgACAAIAAgACAAIAAgACAAYQAsACAAUwBXAEkAVABDAEgAKABtAG8AZABlACwAIAAwACwAIABUAE8AQwBPAEwAKABsAGkAcwB0ACwAIAAzACkALAAgADEALAAgAFQATwBDAE8ATAAoAGMAaABlAGMAawAsACAAMwApACwAIAApACwAXABuACAAIAAgACAAIAAgACAAIABiACwAIABTAFcASQBUAEMASAAoAG0AbwBkAGUALAAgADAALAAgAGMAaABlAGMAawAsACAAMQAsACAAbABpAHMAdAApACwAXABuACAAIAAgACAAIAAgACAAIAByAGUAcwB1AGwAdAAsACAASQBTAE4AQQAoAEIAWQBSAE8AVwAoAGEALAAgAEwAQQBNAEIARABBACgAeAAsACAAWABMAE8ATwBLAFUAUAAoAHgALAAgAGIALAAgAGIAKQApACkAKQAsAFwAbgAgACAAIAAgACAAIAAgACAAZgBpAG4AbABpAHMAdAAsACAASQBGAEUAUgBSAE8AUgAoAEYASQBMAFQARQBSACgAYQAsACAAcgBlAHMAdQBsAHQAIAA9ACAAVABSAFUARQApACwAIABcACIATgBPAE4ARQBcACIAKQAsAFwAbgAgACAAIAAgACAAIAAgACAAZgBpAG4AbABpAHMAdABcAG4AIAAgACAAIAApAFwAbgApADsAXABuAFwAbgAvACoAIABWAF8ASQBOAFQARQBSAFMARQBDAFQAXABuAFIAZQB0AHUAcgBuAHMAIABhACAAbABpAHMAdAAgAG8AZgAgAGEAbABsACAAZQBsAGUAbQBlAG4AdABzACAAYwBvAG0AbQBvAG4AIAB0AG8AIAB0AHcAbwAgAGwAaQBzAHQAcwBcAG4AUgBlAHQAdQByAG4AcwAgAHQAaABlACAAaQBuAHQAZQByAHMAZQBjAHQAaQBvAG4AOgAgAGwAaQBzAHQAIADCIiAAYwBoAGUAYwBrAFwAbgAqAC8AXABuAFYAXwBJAE4AVABFAFIAUwBFAEMAVAAgAD0AIABMAEEATQBCAEQAQQAoAGwAaQBzAHQALAAgAGMAaABlAGMAawAsACAAWwBtAG8AZABlAF0ALABcAG4AIAAgACAAIABMAEUAVAAoAFwAbgAgACAAIAAgACAAIAAgACAAbQBvAGQAZQAsACAASQBGACgATwBSACgASQBTAE8ATQBJAFQAVABFAEQAKABtAG8AZABlACkALAAgAG0AbwBkAGUAIAA+ACAAMQApACwAIAAwACwAIAAxACkALABcAG4AIAAgACAAIAAgACAAIAAgAGwAYQBzAHQAXwBjAGgAZQBjAGsALAAgAEkAUwBOAEEAKABCAFkAUgBPAFcAKABjAGgAZQBjAGsALAAgAEwAQQBNAEIARABBACgAeQAsACAAWABMAE8ATwBLAFUAUAAoAHkALAAgAGwAaQBzAHQALAAgAGwAaQBzAHQAKQApACkAKQAsAFwAbgAgACAAIAAgACAAIAAgACAAbABhAHMAdABfAGwAaQBzAHQALAAgAEYASQBMAFQARQBSACgAYwBoAGUAYwBrACwAIABsAGEAcwB0AF8AYwBoAGUAYwBrACAAPQAgAEYAQQBMAFMARQAsACAAXAAiAFwAIgApACwAXABuACAAIAAgACAAIAAgACAAIABvAHUAdABwAHUAdAAsACAAUwBXAEkAVABDAEgAKABtAG8AZABlACwAIAAwACwAIABsAGEAcwB0AF8AbABpAHMAdAAsACAAMQAsACAAUwBPAFIAVAAoAGwAYQBzAHQAXwBsAGkAcwB0ACkAKQAsAFwAbgAgACAAIAAgACAAIAAgACAAbwB1AHQAcAB1AHQAXABuACAAIAAgACAAKQBcAG4AKQA7AFwAbgBcAG4ALwAqACAAVgBfAFMAWQBNAEQASQBGAEYAXABuAFIAZQB0AHUAcgBuAHMAIABhACAAbABpAHMAdAAgAG8AZgAgAGUAbABlAG0AZQBuAHQAcwAgAHUAbgBpAHEAdQBlACAAdABvACAAdAB3AG8AIABsAGkAcwB0AHMAXABuAFIAZQB0AHUAcgBuAHMAIAB0AGgAZQAgAHMAeQBtAG0AZQB0AHIAaQBjACAAZABpAGYAZgBlAHIAZQBuAGMAZQA6ACAAbABpAHMAdAAgALMlIABjAGgAZQBjAGsAXABuACAAIAAgACAAaQAuAGUALgAgACgAbABpAHMAdAAgAMMiIABjAGgAZQBjAGsAKQAgAC0AIAAoAGwAaQBzAHQAIADCIiAAYwBoAGUAYwBrACkAXABuACoALwBcAG4AVgBfAFMAWQBNAEQASQBGAEYAIAA9ACAATABBAE0AQgBEAEEAKABsAGkAcwB0ACwAIABjAGgAZQBjAGsALABcAG4AIAAgACAAIABMAEUAVAAoAFwAbgAgACAAIAAgACAAIAAgACAAZgBpAHIAcwB0AF8AYwBoAGUAYwBrACwAIABJAFMATgBBACgAQgBZAFIATwBXACgAbABpAHMAdAAsACAATABBAE0AQgBEAEEAKAB5ACwAIABYAEwATwBPAEsAVQBQACgAeQAsACAAYwBoAGUAYwBrACwAIABjAGgAZQBjAGsAKQApACkAKQAsAFwAbgAgACAAIAAgACAAIAAgACAAZgBpAHIAcwB0AF8AbABpAHMAdAAsACAAUwBPAFIAVAAoAEYASQBMAFQARQBSACgAbABpAHMAdAAsACAAZgBpAHIAcwB0AF8AYwBoAGUAYwBrACAAPQAgAFQAUgBVAEUALAAgAFwAIgBcACIAKQApACwAXABuACAAIAAgACAAIAAgACAAIABsAGEAcwB0AF8AYwBoAGUAYwBrACwAIABJAFMATgBBACgAQgBZAFIATwBXACgAYwBoAGUAYwBrACwAIABMAEEATQBCAEQAQQAoAHkALAAgAFgATABPAE8ASwBVAFAAKAB5ACwAIABsAGkAcwB0ACwAIABsAGkAcwB0ACkAKQApACkALABcAG4AIAAgACAAIAAgACAAIAAgAGwAYQBzAHQAXwBsAGkAcwB0ACwAIABTAE8AUgBUACgARgBJAEwAVABFAFIAKABjAGgAZQBjAGsALAAgAGwAYQBzAHQAXwBjAGgAZQBjAGsAIAA9ACAAVABSAFUARQAsACAAXAAiAFwAIgApACkALABcAG4AIAAgACAAIAAgACAAIAAgAGYAaQBuAF8AbABpAHMAdAAsACAAVgBTAFQAQQBDAEsAKABmAGkAcgBzAHQAXwBsAGkAcwB0ACwAIABsAGEAcwB0AF8AbABpAHMAdAApACwAXABuACAAIAAgACAAIAAgACAAIABmAGkAbgBfAGwAaQBzAHQAXABuACAAIAAgACAAKQBcAG4AKQA7AFwAbgBcAG4ALwAqACAAVgBfAFUATgBJAE8ATgBcAG4AUgBlAHQAdQByAG4AcwAgAGEAIAB1AG4AaQBxAHUAZQAgAGwAaQBzAHQAIABvAGYAIAB0AGgAZQAgAGkAdABlAG0AcwAgAGYAcgBvAG0AIAB0AHcAbwAgAGwAaQBzAHQAcwBcAG4AUgBlAHQAdQByAG4AcwAgAHQAaABlACAAdQBuAGkAbwBuADoAIABsAGkAcwB0ACAAwyIgAGMAaABlAGMAawBcAG4AKgAvAFwAbgBWAF8AVQBOAEkATwBOACAAPQAgAEwAQQBNAEIARABBACgAbABpAHMAdAAsACAAYwBoAGUAYwBrACwAIABbAG0AbwBkAGUAXQAsACAAWwBzAG8AcgB0AF0ALABcAG4AIAAgACAAIABMAEUAVAAoAFwAbgAgACAAIAAgACAAIAAgACAAbQBvAGQAZQAsACAASQBGACgATwBSACgASQBTAE8ATQBJAFQAVABFAEQAKABtAG8AZABlACkALAAgAG0AbwBkAGUAIAA+ACAAMQApACwAIAAwACwAIABtAG8AZABlACkALABcAG4AIAAgACAAIAAgACAAIAAgAHMAbwByAHQALAAgAEkARgAoAE8AUgAoAEkAUwBPAE0ASQBUAFQARQBEACgAcwBvAHIAdAApACwAIABzAG8AcgB0ACAAPgAgADEAKQAsACAAMAAsACAAcwBvAHIAdAApACwAXABuACAAIAAgACAAIAAgACAAIAByAGUAcwB1AGwAdAAsACAAUwBXAEkAVABDAEgAKABcAG4AIAAgACAAIAAgACAAIAAgACAAIAAgACAAbQBvAGQAZQAsAFwAbgAgACAAIAAgACAAIAAgACAAIAAgACAAIAAwACwAIABUAE8AQwBPAEwAKABWAFMAVABBAEMASwAoAGwAaQBzAHQALAAgAGMAaABlAGMAawApACwAIAAzACkALABcAG4AIAAgACAAIAAgACAAIAAgACAAIAAgACAAMQAsACAAVQBOAEkAUQBVAEUAKABUAE8AQwBPAEwAKABWAFMAVABBAEMASwAoAGwAaQBzAHQALAAgAGMAaABlAGMAawApACwAIAAzACkAKQBcAG4AIAAgACAAIAAgACAAIAAgACkALABcAG4AIAAgACAAIAAgACAAIAAgAFMAVwBJAFQAQwBIACgAcwBvAHIAdAAsACAAMAAsACAAcgBlAHMAdQBsAHQALAAgADEALAAgAFMATwBSAFQAKAByAGUAcwB1AGwAdAApACkAXABuACAAIAAgACAAKQBcAG4AKQA7AFwAbgBcAG4ALwAqACAASQBTAEkATgBcAG4AKgAvAFwAbgBJAFMASQBOACAAPQAgAEwAQQBNAEIARABBACgAVABhAHIAZwBlAHQALAAgAFQAZQBzAHQAQQByAHIAYQB5ACwAXABuACAAIAAgACAATABFAFQAKABSAGUAdAB1AHIAbgAsACAASQBGACgASQBTAE4AQQAoAFgATABPAE8ASwBVAFAAKABUAGEAcgBnAGUAdAAsACAAVABlAHMAdABBAHIAcgBhAHkALAAgAFQAZQBzAHQAQQByAHIAYQB5ACkAKQAsACAAXAAiAEYAQQBMAFMARQBcACIALAAgAFwAIgBUAFIAVQBFAFwAIgApACwAIABSAGUAdAB1AHIAbgApAFwAbgApADsAXABuAFwAbgAvACoAIABMAEkAUwBUAF8ARABVAFAARQBTAFwAbgAgACAAIAAgAFIAZQB0AHUAcgBuAHMAIABhACAAbABpAHMAdAAgAG8AZgAgAGkAdABlAG0AcwAgAHcAaABpAGMAaAAgAGEAcABwAGUAYQByACAAbQBvAHIAZQAgAHQAaABhAG4AIABvAG4AYwBlACAAaQBuACAAYQAgAGwAaQBzAHQAXABuACoALwBcAG4ATABJAFMAVABfAEQAVQBQAEUAUwAgAD0AIABMAEEATQBCAEQAQQAoAGwAaQBzAHQALABcAG4AIAAgACAAIABMAEUAVAAoAFwAbgAgACAAIAAgACAAIAAgACAAYwBvAHUAbgB0AF8AbABpAHMAdAAsACAAVQBOAEkAUQBVAEUAKABCAFkAUgBPAFcAKABsAGkAcwB0ACwAIABMAEEATQBCAEQAQQAoAHgALAAgAHgAIAAmACAAXAAiADoAIABcACIAIAAmACAAQwBPAFUATgBUAEkARgAoAGwAaQBzAHQALAAgAHgAKQApACkAKQAsAFwAbgAgACAAIAAgACAAIAAgACAAbwB1AHQAcAB1AHQALAAgAFMATwBSAFQAKABGAEkATABUAEUAUgAoAGMAbwB1AG4AdABfAGwAaQBzAHQALAAgAFYAQQBMAFUARQAoAFQARQBYAFQAQQBGAFQARQBSACgAYwBvAHUAbgB0AF8AbABpAHMAdAAsACAAXAAiADoAIABcACIAKQApACAAPgAgADEAKQApACwAXABuACAAIAAgACAAIAAgACAAIABvAHUAdABwAHUAdABcAG4AIAAgACAAIAApAFwAbgApADsAXABuAFwAbgBEAFUAUABFAEwASQBTAFQAIAA9ACAATABBAE0AQgBEAEEAKABsAGkAcwB0ACwAXABuACAAIAAgACAATABFAFQAKABcAG4AIAAgACAAIAAgACAAIAAgAGMAbwB1AG4AdABfAGwAaQBzAHQALAAgAFUATgBJAFEAVQBFACgAQgBZAFIATwBXACgAbABpAHMAdAAsACAATABBAE0AQgBEAEEAKAB4ACwAIAB4ACAAJgAgAFwAIgA6ACAAXAAiACAAJgAgAEMATwBVAE4AVABJAEYAKABsAGkAcwB0ACwAIAB4ACkAKQApACkALABcAG4AIAAgACAAIAAgACAAIAAgAG8AdQB0AHAAdQB0ACwAIABTAE8AUgBUACgARgBJAEwAVABFAFIAKABjAG8AdQBuAHQAXwBsAGkAcwB0ACwAIABWAEEATABVAEUAKABUAEUAWABUAEEARgBUAEUAUgAoAGMAbwB1AG4AdABfAGwAaQBzAHQALAAgAFwAIgA6ACAAXAAiACkAKQAgAD4AIAAxACkAKQAsAFwAbgAgACAAIAAgACAAIAAgACAAQgBZAFIATwBXACgAbwB1AHQAcAB1AHQALAAgAEwAQQBNAEIARABBACgAeAAsACAATQBBAFQAQwBIACgAeAAsACAAbwB1AHQAcAB1AHQAKQAgACYAIABcACIAIABcACIAIAAmACAAeAApACkAXABuACAAIAAgACAAKQBcAG4AKQA7AFwAbgBcAG4AQwBPAFUATgBUAEUAQQBDAEgAIAA9ACAATABBAE0AQgBEAEEAKAByAGEAbgBnAGUALABcAG4AIAAgACAAIABMAEUAVAAoAFwAbgAgACAAIAAgACAAIAAgACAAdABlAHMAdAAsACAAQwBPAEwAVQBNAE4AUwAoAHIAYQBuAGcAZQApACwAXABuACAAIAAgACAAIAAgACAAIABjAG8AdQBuAHQAXwBsAGkAcwB0ACwAIABTAE8AUgBUACgAVQBOAEkAUQBVAEUAKABCAFkAUgBPAFcAKAByAGEAbgBnAGUALAAgAEwAQQBNAEIARABBACgAeAAsACAAeAAgACYAIABcACIAOgAgAFwAIgAgACYAIABDAE8AVQBOAFQASQBGACgAcgBhAG4AZwBlACwAIAB4ACkAKQApACkAKQAsAFwAbgAgACAAIAAgACAAIAAgACAAYwBvAHUAbgB0AF8AbABpAHMAdABcAG4AIAAgACAAIAApAFwAbgApADsAXABuAFwAbgAvACoAIABVAE4ASQBRAFUARQBTAE8AUgBUAFwAbgAgACAAIAAgAFIAZQB0AHUAcgBuAHMAIABhACAAcwBvAHIAdABlAGQAIABsAGkAcwB0ACAAbwBmACAAdQBuAGkAcQB1AGUAIAB2AGEAbAB1AGUAcwAgAGYAcgBvAG0AIABhACAAbABpAHMAdABcAG4AKgAvAFwAbgBVAE4ASQBRAFUARQBTAE8AUgBUACAAPQAgAEwAQQBNAEIARABBACgAcgBhAG4AZwBlACwAIABbAG8AcgBkAGUAcgBdACwAXABuACAAIAAgACAATABFAFQAKABcAG4AIAAgACAAIAAgACAAIAAgAG8AcgBkAGUAcgAsACAASQBGACgATwBSACgASQBTAE8ATQBJAFQAVABFAEQAKABvAHIAZABlAHIAKQAsACAAbwByAGQAZQByACAAPgAgADEAKQAsACAAMAAsACAAbwByAGQAZQByACkALABcAG4AIAAgACAAIAAgACAAIAAgAGwAaQBzAHQALAAgAFQATwBDAE8ATAAoAHIAYQBuAGcAZQAsACAAMwApACwAXABuACAAIAAgACAAIAAgACAAIABzAG8AcgB0AGUAZAAsACAAUwBXAEkAVABDAEgAKABvAHIAZABlAHIALAAgADAALAAgAFMATwBSAFQAKABVAE4ASQBRAFUARQAoAGwAaQBzAHQAKQApACwAIAAxACwAIABTAE8AUgBUACgAVQBOAEkAUQBVAEUAKABsAGkAcwB0ACkALAAgACwAIAAtADEAKQAsACAAKQAsAFwAbgAgACAAIAAgACAAIAAgACAAcwBvAHIAdABlAGQAXABuACAAIAAgACAAKQBcAG4AKQA7AFwAbgBcAG4ALwAqACAARQBOAEQAIABHAEUATgBFAFIAQQBMACAARgBVAE4AQwBUAEkATwBOAFMAIAAqAC8AXABuAFwAbgAvACoAIABIAE8AUgBPAEwATwBHAEkAQwBBAEwAIABGAFUATgBDAFQASQBPAE4AUwAgACoALwBcAG4AXABuAC8AKgAgAE0ASQBOAFUAVABFAFMAXwBNAFMAXABuAFwAbgBDAG8AbgB2AGUAcgB0AHMAIABkAGUAYwBpAG0AYQBsACAAbQBpAG4AdQB0AGUAcwAgAGkAbgB0AG8AIABNAE0AOgBTAFMAXABuACoALwBcAG4ATQBJAE4AVQBUAEUAUwBfAE0AUwAgAD0AIABMAEEATQBCAEQAQQAoAEQAZQBjAGkAbQBhAGwATQBpAG4AdQB0AGUAcwAsACAAWwBQAHIAZQBjAGkAcwBpAG8AbgBdACwAXABuACAAIAAgACAATABFAFQAKABcAG4AIAAgACAAIAAgACAAIAAgAHAAcgBlAGMAaQBzAGkAbwBuACwAIABJAEYAKABJAFMATwBNAEkAVABUAEUARAAoAFAAcgBlAGMAaQBzAGkAbwBuACkALAAgADMALAAgAFAAcgBlAGMAaQBzAGkAbwBuACkALABcAG4AIAAgACAAIAAgACAAIAAgAG0AaQBuAHUAdABlAHMALAAgAFEAVQBPAFQASQBFAE4AVAAoAEQAZQBjAGkAbQBhAGwATQBpAG4AdQB0AGUAcwAsACAAMQApACwAXABuACAAIAAgACAAIAAgACAAIABzAGUAYwBvAG4AZABzACwAIAAoAEQAZQBjAGkAbQBhAGwATQBpAG4AdQB0AGUAcwAgAC0AIABtAGkAbgB1AHQAZQBzACkAIAAqACAANgAwACwAXABuACAAIAAgACAAIAAgACAAIABtAGkAbgB1AHQAZQBzACAAJgAgAFwAIgBtACAAXAAiACAAJgAgAEYASQBYAEUARAAoAHMAZQBjAG8AbgBkAHMALAAgAHAAcgBlAGMAaQBzAGkAbwBuACkAIAAmACAAXAAiAHMAXAAiAFwAbgAgACAAIAAgACkAXABuACkAOwBcAG4AXABuAC8AKgAgAE0ASQBOAFUAVABFAFMASABNAFMAXABuAFwAbgBDAG8AbgB2AGUAcgB0AHMAIABkAGUAYwBpAG0AYQBsACAAbQBpAG4AdQB0AGUAcwAgAGkAbgB0AG8AIABNAE0AOgBTAFMAXABuACoALwBcAG4ATQBJAE4AVQBUAEUAUwBf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gAbwB1AHIAcwAsACAARABlAGMAaQBtAGEAbABNAGkAbgB1AHQAZQBzACAALwAgADYAMAAsAFwAbgAgACAAIAAgACAAIAAgACAAaABvAHUAcgBzACwAIABRAFUATwBUAEkARQBOAFQAKABEAGUAYwBpAG0AYQBsAE0AaQBuAHUAdABlAHMALAAgADYAMAApACwAXABuACAAIAAgACAAIAAgACAAIAB0AG8AdABhAGwAbQBpAG4AdQB0AGUAcwAsACAATQBPAEQAKABEAGUAYwBpAG0AYQBsAE0AaQBuAHUAdABlAHMALAAgADYAMAApACwAXABuACAAIAAgACAAIAAgACAAIABtAGkAbgB1AHQAZQBzACwAIABRAFUATwBUAEkARQBOAFQAKAB0AG8AdABhAGwAbQBpAG4AdQB0AGUAcwAsACAAMQApACwAXABuACAAIAAgACAAIAAgACAAIAB0AG8AdABhAGwAcwBlAGMAbwBuAGQAcwAsACAATQBPAEQAKAB0AG8AdABhAGwAbQBpAG4AdQB0AGUAcwAsACAAMQApACwAXABuACAAIAAgACAAIAAgACAAIABzAGUAYwBvAG4AZABzACwAIAB0AG8AdABhAGwAcwBlAGMAbwBuAGQAcwAgACoAIAA2ADAALABcAG4AIAAgACAAIAAgACAAIAAgAGgAbwB1AHIAcwAgACYAIABcACIAaAAgAFwAIgAgACYAIABtAGkAbgB1AHQAZQBzACAAJgAgAFwAIgBtACAAXAAiACAAJgAgAEYASQBYAEUARAAoAHMAZQBjAG8AbgBkAHMALAAgAHAAcgBlAGMAaQBzAGkAbwBuACkAIAAmACAAXAAiAHMAXAAiAFwAbgAgACAAIAAgACkAXABuACkAOwBcAG4AXABuAC8AKgAgAE0ASQBOAFUAVABFAFMAXwBEAEgATQBTAFwAbgBcAG4AQwBvAG4AdgBlAHIAdABzACAAZABlAGMAaQBtAGEAbAAgAG0AaQBuAHUAdABlAHMAIABpAG4AdABvACAATQBNADoAUwBTAFwAbgAqAC8AXABuAE0ASQBOAFUAVABFAFMAXwBEAEgATQBTACAAPQAgAEwAQQBNAEIARABBACgARABlAGMAaQBtAGEAbABNAGkAbgB1AHQAZQBzACwAIABbAHAAcgBlAGMAaQBzAGkAbwBuAF0ALABcAG4AIAAgACAAIABMAEUAVAAoAFwAbgAgACAAIAAgACAAIAAgACAAcAByAGUAYwBpAHMAaQBvAG4ALAAgAEkARgAoAEkAUwBPAE0ASQBUAFQARQBEACgAcAByAGUAYwBpAHMAaQBvAG4AKQAsACAAMwAsACAAcAByAGUAYwBpAHMAaQBvAG4AKQAsAFwAbgAgACAAIAAgACAAIAAgACAAdABvAHQAYQBsAGQAYQB5AHMALAAgAEQAZQBjAGkAbQBhAGwATQBpAG4AdQB0AGUAcwAgAC8AIAA2ADAAIAAvACAAMgA0ACwAXABuACAAIAAgACAAIAAgACAAIABkAGEAeQBzACwAIABRAFUATwBUAEkARQBOAFQAKAB0AG8AdABhAGwAZABhAHkAcwAsACAAMQApACwAXABuACAAIAAgACAAIAAgACAAIAB0AG8AdABhAGwAaABvAHUAcgBzACwAIABNAE8ARAAoAHQAbwB0AGEAbABkAGEAeQBzACwAIAAxACkALABcAG4AIAAgACAAIAAgACAAIAAgAGgAbwB1AHIAcwAsACAAUQBVAE8AVABJAEUATgBUACgAdABvAHQAYQBsAGgAbwB1AHIAcwAgACoAIAAyADQALAAgADEAKQAsAFwAbgAgACAAIAAgACAAIAAgACAAdABvAHQAYQBsAG0AaQBuAHUAdABlAHMALAAgAE0ATwBEACgAdABvAHQAYQBsAGgAbwB1AHIAcwAgACoAIAAyADQALAAgADEAKQAsAFwAbgAgACAAIAAgACAAIAAgACAAbQBpAG4AdQB0AGUAcwAsACAAUQBVAE8AVABJAEUATgBUACgAdABvAHQAYQBsAG0AaQBuAHUAdABlAHMAIAAqACAANgAwACwAIAAxACkALABcAG4AIAAgACAAIAAgACAAIAAgAHQAbwB0AGEAbABzAGUAYwBvAG4AZABzACwAIABNAE8ARAAoAHQAbwB0AGEAbABtAGkAbgB1AHQAZQBzACAAKgAgADYAMAAsACAAMQApACwAXABuACAAIAAgACAAIAAgACAAIABzAGUAYwBvAG4AZABzACwAIAB0AG8AdABhAGwAcwBlAGMAbwBuAGQAcwAgACoAIAA2ADAALABcAG4AIAAgACAAIAAgACAAIAAgAGQAYQB5AHMAIAAmACAAXAAiAGQAIABcACIAIAAmACAAaABvAHUAcgBzACAAJgAgAFwAIgBoACAAXAAiACAAJgAgAG0AaQBuAHUAdABlAHMAIAAmACAAXAAiAG0AIABcACIAIAAmACAARgBJAFgARQBEACgAcwBlAGMAbwBuAGQAcwAsACAAcAByAGUAYwBpAHMAaQBvAG4AKQAgACYAIABcACIAcwBcACIAXABuACAAIAAgACAAKQBcAG4AKQA7AFwAbgBcAG4ALwAqACAATQBJAE4AVQBUAEUAUwBfAFkARABIAE0AUwBcAG4AXABuAEMAbwBuAHYAZQByAHQAcwAgAGQAZQBjAGkAbQBhAGwAIABtAGkAbgB1AHQAZQBzACAAaQBuAHQAbwAgAE0ATQA6AFMAUwBcAG4AKgAvAFwAbgBNAEkATgBVAFQARQBTAF8AWQBEAEgATQBTACAAPQAgAEwAQQBNAEIARABBACgARABlAGMAaQBtAGEAbABNAGkAbgB1AHQAZQBzACwAIABbAFQAeQBwAGUAXQAsACAAWwBwAHIAZQBjAGkAcwBpAG8AbgBdACwAXABuACAAIAAgACAATABFAFQAKABcAG4AIAAgACAAIAAgACAAIAAgAHkAZQBhAHIAXwBsAGUAbgAsACAAUwBXAEkAVABDAEgAKABcAG4AIAAgACAAIAAgACAAIAAgACAAIAAgACAAVAB5AHAAZQAsAFwAbgAgACAAIAAgACAAIAAgACAAIAAgACAAIAAwACwAIAA1ADIANQA2ADAAMAAsAFwAbgAgACAAIAAgACAAIAAgACAAIAAgACAAIAAxACwAIAA1ADIANQA5ADQAOAAuADcANQAzADYALABcAG4AIAAgACAAIAAgACAAIAAgACAAIAAgACAAMgAsACAANQAyADUAOQA2ADAALABcAG4AIAAgACAAIAAgACAAIAAgACAAIAAgACAAMwAsACAANQAyADUAOQA2ADkALgAxADYAMgA3ADIANQA3ADYALABcAG4AIAAgACAAIAAgACAAIAAgACAAIAAgACAANQAyADUANgAwADAAIAAvAC8AIABEAGUAZgBhAHUAbAB0ACAAdgBhAGwAdQBlACAAaQBmACAAdAB5AHAAZQAgAGQAbwBlAHMAbgAnAHQAIABtAGEAdABjAGgAIABhAG4AeQAgAHMAcABlAGMAaQBmAGkAZQBkACAAYwBhAHMAZQBzAFwAbgAgACAAIAAgACAAIAAgACAAKQAsAFwAbgAgACAAIAAgACAAIAAgACAAcAByAGUAYwBpAHMAaQBvAG4ALAAgAEkARgAoAEkAUwBPAE0ASQBUAFQARQBEACgAcAByAGUAYwBpAHMAaQBvAG4AKQAsACAAMwAsACAAcAByAGUAYwBpAHMAaQBvAG4AKQAsAFwAbgAgACAAIAAgACAAIAAgACAAVABvAHQAYQBsAFkAZQBhAHIAcwAsACAARABlAGMAaQBtAGEAbABNAGkAbgB1AHQAZQBzACAALwAgAHkAZQBhAHIAXwBsAGUAbgAsAFwAbgAgACAAIAAgACAAIAAgACAAeQBlAGEAcgBzACwAIABRAFUATwBUAEkARQBOAFQAKABUAG8AdABhAGwAWQBlAGEAcgBzACwAIAAxACkALABcAG4AIAAgACAAIAAgACAAIAAgAHQAbwB0AGEAbABkAGEAeQBzACwAIABNAE8ARAAoAFQAbwB0AGEAbABZAGUAYQByAHMALAAgADEAKQAgACoAIAB5AGUAYQByAF8AbABlAG4AIAAvACAAMQA0ADQAMAAsAFwAbgAgACAAIAAgACAAIAAgACAAZABhAHkAcwAsACAAUQBVAE8AVABJAEUATgBUACgAdABvAHQAYQBsAGQAYQB5AHMALAAgADEAKQAsAFwAbgAgACAAIAAgACAAIAAgACAAdABvAHQAYQBsAGgAbwB1AHIAcwAsACAATQBPAEQAKAB0AG8AdABhAGwAZABhAHkAcwAsACAAMQApACwAXABuACAAIAAgACAAIAAgACAAIABoAG8AdQByAHMALAAgAFEAVQBPAFQASQBFAE4AVAAoAHQAbwB0AGEAbABoAG8AdQByAHMAIAAqACAAMgA0ACwAIAAxACkALABcAG4AIAAgACAAIAAgACAAIAAgAHQAbwB0AGEAbABtAGkAbgB1AHQAZQBzACwAIABNAE8ARAAoAHQAbwB0AGEAbABoAG8AdQByAHMAIAAqACAAMgA0ACwAIAAxACkALABcAG4AIAAgACAAIAAgACAAIAAgAG0AaQBuAHUAdABlAHMALAAgAFEAVQBPAFQASQBFAE4AVAAoAHQAbwB0AGEAbABtAGkAbgB1AHQAZQBzACAAKgAgADYAMAAsACAAMQApACwAXABuACAAIAAgACAAIAAgACAAIAB0AG8AdABhAGwAcwBlAGMAbwBuAGQAcwAsACAATQBPAEQAKAB0AG8AdABhAGwAbQBpAG4AdQB0AGUAcwAgACoAIAA2ADAALAAgADEAKQAsAFwAbgAgACAAIAAgACAAIAAgACAAcwBlAGMAbwBuAGQAcwAsACAAdABvAHQAYQBsAHMAZQBjAG8AbgBkAHMAIAAqACAANgAwACwAXABuACAAIAAgACAAIAAgACAAIAB5AGUAYQByAHMAIAAmACAAXAAiAHkAIABcACIAIAAmACAAZABhAHkAcwAgACYAIABcACIAZAAgAFwAIgAgACYAIABoAG8AdQByAHMAIAAmACAAXAAiAGgAIABcACIAIAAmACAAbQBpAG4AdQB0AGUAcwAgACYAIABcACIAbQAgAFwAIgAgACYAIABGAEkAWABFAEQAKABzAGUAYwBvAG4AZABzACwAIABwAHIAZQBjAGkAcwBpAG8AbgApACAAJgAgAFwAIgBzAFwAIgBcAG4AIAAgACAAIAApAFwAbgApADsAXABuAFwAbgAvACoAIABTAEUAQwBPAE4ARABTAF8ATQBTAFwAbgBcAG4AQwBvAG4AdgBlAHIAdABzACAAZABlAGMAaQBtAGEAbAAgAHMAZQBjAG8AbgBkAHMAIABpAG4AdABvACAATQBNAC4ATQBNAFwAbgAqAC8AXABuAFMARQBDAE8ATgBEAFMAXwBNAFMAIAA9ACAATABBAE0AQgBEAEEAKABEAGUAYwBpAG0AYQBsAFMAZQBjAG8AbgBkAHMALAAgAFsAUAByAGUAYwBpAHMAaQBvAG4AXQAsAFwAbgAgACAAIAAgAEwARQBUACgAXABuACAAIAAgACAAIAAgACAAIABkAGUAYwBwAHIAZQBjACwAIABJAEYAKABJAFMATwBNAEkAVABUAEUARAAoAFAAcgBlAGMAaQBzAGkAbwBuACkALAAgADMALAAgAFAAcgBlAGMAaQBzAGkAbwBuACkALABcAG4AIAAgACAAIAAgACAAIAAgAHMAaQBnAG4ALAAgAEkARgAoAEQAZQBjAGkAbQBhAGwAUwBlAGMAbwBuAGQAcwAgADwAIAAwACwAIABcACIALQBcACIALAAgAFwAIgBcACIAKQAsAFwAbgAgACAAIAAgACAAIAAgACAAdABvAHQAYQBsAFMAZQBjAG8AbgBkAHMALAAgAEEAQgBTACgARABlAGMAaQBtAGEAbABTAGUAYwBvAG4AZABzACkALABcAG4AIAAgACAAIAAgACAAIAAgAG0AaQBuAHUAdABlAHMALAAgAFQAUgBVAE4AQwAoAHQAbwB0AGEAbABTAGUAYwBvAG4AZABzACAALwAgADYAMAApACwAXABuACAAIAAgACAAIAAgACAAIABzAGUAYwBvAG4AZABzACwAIABNAE8ARAAoAHQAbwB0AGEAbABTAGUAYwBvAG4AZABzACwAIAA2ADAAKQAsAFwAbgAgACAAIAAgACAAIAAgACAAcwBpAGcAbgAgACYAIABtAGkAbgB1AHQAZQBzACAAJgAgAFwAIgBtACAAXAAiACAAJgAgAEYASQBYAEUARAAoAHMAZQBjAG8AbgBkAHMALAAgAGQAZQBjAHAAcgBlAGMAKQAgACYAIABcACIAcwBcACIAXABuACAAIAAgACAAKQBcAG4AKQA7AFwAbgBcAG4ALwAqACAAUwBFAEMATwBOAEQAUwBfAEgATQBTAFwAbgBcAG4AQwBvAG4AdgBlAHIAdABzACAAZABlAGMAaQBtAGEAbAAgAHMAZQBjAG8AbgBkAHMAIABpAG4AdABvACAATQBNAC4ATQBNAFwAbgAqAC8AXABuAFMARQBDAE8ATgBEAFMAXwBIAE0AUwAgAD0AIABMAEEATQBCAEQAQQAoAEQAZQBjAGkAbQBhAGwAUwBlAGMAbwBuAGQAcwAsACAAWwBQAHIAZQBjAGkAcwBpAG8AbgBdACwAXABuACAAIAAgACAATABFAFQAKABcAG4AIAAgACAAIAAgACAAIAAgAGQAZQBjAHAAcgBlAGMALAAgAEkARgAoAEkAUwBPAE0ASQBUAFQARQBEACgAUAByAGUAYwBpAHMAaQBvAG4AKQAsACAAMwAsACAAUAByAGUAYwBpAHMAaQBvAG4AKQAsAFwAbgAgACAAIAAgACAAIAAgACAAaAByAHMALAAgAFEAVQBPAFQASQBFAE4AVAAoAEQAZQBjAGkAbQBhAGwAUwBlAGMAbwBuAGQAcwAsACAAMwA2ADAAMAApACwAXABuACAAIAAgACAAIAAgACAAIABtAGkAbgAsACAAUQBVAE8AVABJAEUATgBUACgATQBPAEQAKABEAGUAYwBpAG0AYQBsAFMAZQBjAG8AbgBkAHMALAAgADMANgAwADAAKQAsACAANgAwACkALABcAG4AIAAgACAAIAAgACAAIAAgAHMAZQBjACwAIABNAE8ARAAoAEQAZQBjAGkAbQBhAGwAUwBlAGMAbwBuAGQAcwAsACAANgAwACkALABcAG4AIAAgACAAIAAgACAAIAAgAGgAcgBzACAAJgAgAFwAIgBoACAAXAAiACAAJgAgAG0AaQBuACAAJgAgAFwAIgBtACAAXAAiACAAJgAgAEYASQBYAEUARAAoAHMAZQBjACwAIABkAGUAYwBwAHIAZQBjACkAIAAmACAAXAAiAHMAXAAiAFwAbgAgACAAIAAgACkAXABuACkAOwBcAG4AXABuAFMARQBDAE8ATgBEAFMAXwBEAEgATQBTACAAPQAgAEwAQQBNAEIARABBACgARABlAGMAaQBtAGEAbABTAGUAYwBvAG4AZABzACwAIABbAFAAcgBlAGMAaQBzAGkAbwBuAF0ALABcAG4AIAAgACAAIABMAEUAVAAoAFwAbgAgACAAIAAgACAAIAAgACAAZABlAGMAcAByAGUAYwAsACAASQBGACgASQBTAE8ATQBJAFQAVABFAEQAKABQAHIAZQBjAGkAcwBpAG8AbgApACwAIAAzACwAIABQAHIAZQBjAGkAcwBpAG8AbgApACwAXABuACAAIAAgACAAIAAgACAAIABUAG8AdABhAGwAUwBlAGMAbwBuAGQAcwAsACAARABlAGMAaQBtAGEAbABTAGUAYwBvAG4AZABzACwAXABuACAAIAAgACAAIAAgACAAIABEAGEAeQBzACwAIABRAFUATwBUAEkARQBOAFQAKABUAG8AdABhAGwAUwBlAGMAbwBuAGQAcwAsACAAOAA2ADQAMAAwACkALABcAG4AIAAgACAAIAAgACAAIAAgAEgAbwB1AHIAcwAsACAAUQBVAE8AVABJAEUATgBUACgATQBPAEQAKABUAG8AdABhAGwAUwBlAGMAbwBuAGQAcwAsACAAOAA2ADQAMAAwACkALAAgADMANgAwADAAKQAsAFwAbgAgACAAIAAgACAAIAAgACAATQBpAG4AdQB0AGUAcwAsACAAUQBVAE8AVABJAEUATgBUACgATQBPAEQAKABUAG8AdABhAGwAUwBlAGMAbwBuAGQAcwAsACAAMwA2ADAAMAApACwAIAA2ADAAKQAsAFwAbgAgACAAIAAgACAAIAAgACAAUwBlAGMAbwBuAGQAcwAsACAATQBPAEQAKABUAG8AdABhAGwAUwBlAGMAbwBuAGQAcwAsACAANgAwACkALABcAG4AIAAgACAAIAAgACAAIAAgAEQAYQB5AHMAIAAmACAAXAAiAGQAIABcACIAIAAmACAASABvAHUAcgBzACAAJgAgAFwAIgBoACAAXAAiACAAJgAgAE0AaQBuAHUAdABlAHMAIAAmACAAXAAiAG0AIABcACIAIAAmACAARgBJAFgARQBEACgAUwBlAGMAbwBuAGQAcwAsACAAZABlAGMAcAByAGUAYwApACAAJgAgAFwAIgBzAFwAIgBcAG4AIAAgACAAIAApAFwAbgApADsAXABuAFwAbgBTAEUAQwBPAE4ARABTAF8AWQBEAEgATQBTACAAPQAgAEwAQQBNAEIARABBACgARABlAGMAaQBtAGEAbABTAGUAYwBvAG4AZABzACwAIABbAFQAeQBwAGUAXQAsACAAWwBQAHIAZQBjAGkAcwBpAG8AbgBdACwAXABuACAAIAAgACAATABFAFQAKABcAG4AIAAgACAAIAAgACAAIAAgAHkAZQBhAHIAXwBsAGUAbgAsACAAUwBXAEkAVABDAEgAKABcAG4AIAAgACAAIAAgACAAIAAgACAAIAAgACAAVAB5AHAAZQAsAFwAbgAgACAAIAAgACAAIAAgACAAIAAgACAAIAAwACwAIAAzADEANQAzADYAMAAwADAALABcAG4AIAAgACAAIAAgACAAIAAgACAAIAAgACAAMQAsACAAMwAxADUANQA2ADkAMgA1AC4AMgAyACwAXABuACAAIAAgACAAIAAgACAAIAAgACAAIAAgADIALAAgADMAMQA1ADUANwA2ADAAMAAsAFwAbgAgACAAIAAgACAAIAAgACAAIAAgACAAIAAzACwAIAAzADEANQA1ADgAMQA0ADkALgA3ADYAMwA1ADQANQA2ACwAXABuACAAIAAgACAAIAAgACAAIAAgACAAIAAgADMAMQA1ADMANgAwADAAMAAgAC8ALwAgAEQAZQBmAGEAdQBsAHQAIAB2AGEAbAB1AGUAIABpAGYAIAB0AHkAcABlACAAZABvAGUAcwBuACcAdAAgAG0AYQB0AGMAaAAgAGEAbgB5ACAAcwBwAGUAYwBpAGYAaQBlAGQAIABjAGEAcwBlAHMAXABuACAAIAAgACAAIAAgACAAIAApACwAXABuACAAIAAgACAAIAAgACAAIABkAGUAYwBwAHIAZQBjACwAIABJAEYAKABJAFMATwBNAEkAVABUAEUARAAoAFAAcgBlAGMAaQBzAGkAbwBuACkALAAgADMALAAgAFAAcgBlAGMAaQBzAGkAbwBuACkALABcAG4AIAAgACAAIAAgACAAIAAgAFQAbwB0AGEAbABTAGUAYwBvAG4AZABzACwAIABEAGUAYwBpAG0AYQBsAFMAZQBjAG8AbgBkAHMALABcAG4AIAAgACAAIAAgACAAIAAgAFkAZQBhAHIAcwAsACAAUQBVAE8AVABJAEUATgBUACgAVABvAHQAYQBsAFMAZQBjAG8AbgBkAHMALAAgAHkAZQBhAHIAXwBsAGUAbgApACwAXABuACAAIAAgACAAIAAgACAAIABSAGUAbQBhAGkAbgBpAG4AZwBTAGUAYwBvAG4AZABzAEEAZgB0AGUAcgBZAGUAYQByAHMALAAgAE0ATwBEACgAVABvAHQAYQBsAFMAZQBjAG8AbgBkAHMALAAgAHkAZQBhAHIAXwBsAGUAbgApACwAXABuACAAIAAgACAAIAAgACAAIABEAGEAeQBzACwAIABRAFUATwBUAEkARQBOAFQAKABSAGUAbQBhAGkAbgBpAG4AZwBTAGUAYwBvAG4AZABzAEEAZgB0AGUAcgBZAGUAYQByAHMALAAgADgANgA0ADAAMAApACwAXABuACAAIAAgACAAIAAgACAAIABSAGUAbQBhAGkAbgBpAG4AZwBTAGUAYwBvAG4AZABzAEEAZgB0AGUAcgBEAGEAeQBzACwAIABNAE8ARAAoAFIAZQBtAGEAaQBuAGkAbgBnAFMAZQBjAG8AbgBkAHMAQQBmAHQAZQByAFkAZQBhAHIAcwAsACAAOAA2ADQAMAAwACkALABcAG4AIAAgACAAIAAgACAAIAAgAEgAbwB1AHIAcwAsACAAUQBVAE8AVABJAEUATgBUACgAUgBlAG0AYQBpAG4AaQBuAGcAUwBlAGMAbwBuAGQAcwBBAGYAdABlAHIARABhAHkAcwAsACAAMwA2ADAAMAApACwAXABuACAAIAAgACAAIAAgACAAIABSAGUAbQBhAGkAbgBpAG4AZwBTAGUAYwBvAG4AZABzAEEAZgB0AGUAcgBIAG8AdQByAHMALAAgAE0ATwBEACgAUgBlAG0AYQBpAG4AaQBuAGcAUwBlAGMAbwBuAGQAcwBBAGYAdABlAHIARABhAHkAcwAsACAAMwA2ADAAMAApACwAXABuACAAIAAgACAAIAAgACAAIABNAGkAbgB1AHQAZQBzACwAIABRAFUATwBUAEkARQBOAFQAKABSAGUAbQBhAGkAbgBpAG4AZwBTAGUAYwBvAG4AZABzAEEAZgB0AGUAcgBIAG8AdQByAHMALAAgADYAMAApACwAXABuACAAIAAgACAAIAAgACAAIABTAGUAYwBvAG4AZABzACwAIABNAE8ARAAoAFIAZQBtAGEAaQBuAGkAbgBnAFMAZQBjAG8AbgBkAHMAQQBmAHQAZQByAEgAbwB1AHIAcwAsACAANgAwACkALABcAG4AIAAgACAAIAAgACAAIAAgAFkAZQBhAHIAcwAgACYAIABcACIAeQAgAFwAIgAgACYAIABEAGEAeQBzACAAJgAgAFwAIgBkACAAXAAiACAAJgAgAEgAbwB1AHIAcwAgACYAIABcACIAaAAgAFwAIgAgACYAIABNAGkAbgB1AHQAZQBzACAAJgAgAFwAIgBtACAAXAAiACAAJgAgAEYASQBYAEUARAAoAFMAZQBjAG8AbgBkAHMALAAgAGQAZQBjAHAAcgBlAGMAKQAgACYAIABcACIAcwBcACIAXABuACAAIAAgACAAKQBcAG4AKQA7AFwAbgBcAG4ARABBAFkAUwBfAEQASABNAFMAIAA9ACAATABBAE0AQgBEAEEAKABEAGUAYwBpAG0AYQBsAEQAYQB5AHMALAAgAFsAUAByAGUAYwBpAHMAaQBvAG4AXQAsAFwAbgAgACAAIAAgAEwARQBUACgAXABuACAAIAAgACAAIAAgACAAIABkAGUAYwBwAHIAZQBjACwAIABJAEYAKABJAFMATwBNAEkAVABUAEUARAAoAFAAcgBlAGMAaQBzAGkAbwBuACkALAAgADMALAAgAFAAcgBlAGMAaQBzAGkAbwBuACkALABcAG4AIAAgACAAIAAgACAAIAAgAEgAbwB1AHIAcwAsACAATQBPAEQAKABEAGUAYwBpAG0AYQBsAEQAYQB5AHMAIAAqACAAMgA0ACwAIAAyADQAKQAsAFwAbgAgACAAIAAgACAAIAAgACAATQBpAG4AdQB0AGUAcwAsACAATQBPAEQAKABIAG8AdQByAHMAIAAqACAANgAwACwAIAA2ADAAKQAsAFwAbgAgACAAIAAgACAAIAAgACAAUwBlAGMAbwBuAGQAcwAsACAATQBPAEQAKABNAGkAbgB1AHQAZQBzACAAKgAgADYAMAAsACAANgAwACkALABcAG4AIAAgACAAIAAgACAAIAAgAFQAUgBVAE4AQwAoAEQAZQBjAGkAbQBhAGwARABhAHkAcwApACAAJgAgAFwAIgBkACAAXAAiACAAJgAgAFQAUgBVAE4AQwAoAEgAbwB1AHIAcwApACAAJgAgAFwAIgBoACAAXAAiACAAJgAgAFQAUgBVAE4AQwAoAE0AaQBuAHUAdABlAHMAKQAgACYAIABcACIAbQAgAFwAIgAgACYAXABuACAAIAAgACAAIAAgACAAIAAgACAAIAAgAEYASQBYAEUARAAoAFMAZQBjAG8AbgBkAHMALAAgAGQAZQBjAHAAcgBlAGMAKQAgACYAIABcACIAcwBcACIAXABuACAAIAAgACAAKQBcAG4AKQA7AFwAbgBcAG4ALwAqACAARABBAFkAUwBfAEgATQBTADoAXABuAFwAbgBDAG8AbgB2AGUAcgB0AHMAIABhACAAZABlAGMAaQBtAGEAbAAgAGQAYQB5AHMAIABpAG4AcAB1AHQAIABpAG4AdABvACAAZABhAHkAcwA6AGgAbwB1AHI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EAMQAuADUANgA4ADIAMwAgAC0APgAgADEAMQBkACAAMQAzAGgAIAAzADgAbQAgADEANQAuADAANwAyADAAcwAgACAAXABuAFwAbgBcAG4ARABBAFkAUwBfAEgATQBTACAAPQAgAEwAQQBNAEIARABBACgARABlAGMAaQBtAGEAbABEAGEAeQBzACwAIABbAFAAcgBlAGMAaQBzAGkAbwBuAF0ALABcAG4AXABuAEwARQBUACgAXABuACAAIAAgACAAIAAgACAAIABkAGUAYwBwAHIAZQBjACwAIABJAEYAKABJAFMATwBNAEkAVABUAEUARAAoAFAAcgBlAGMAaQBzAGkAbwBuACkALAAgADMALAAgAFAAcgBlAGMAaQBzAGkAbwBuACkALABcAG4AIAAgACAAIAAgACAAIAAgAEgAbwB1AHIAcwAsACAARABlAGMAaQBtAGEAbABEAGEAeQBzACAAKgAgADIANAAsAFwAbgAgACAAIAAgACAAIAAgACAATQBpAG4AdQB0AGUAcwAsACAATQBPAEQAKABIAG8AdQByAHMAIAAqACAANgAwACwAIAA2ADAAKQAsAFwAbgAgACAAIAAgACAAIAAgACAAUwBlAGMAbwBuAGQAcwAsACAATQBPAEQAKABNAGkAbgB1AHQAZQBzACAAKgAgADYAMAAsACAANgAwACkALABcAG4AIAAgACAAIAAgACAAIAAgAFQAUgBVAE4AQwAoAEgAbwB1AHIAcwApACAAJgAgAFwAIgBoACAAXAAiACAAJgAgAFQAUgBVAE4AQwAoAE0AaQBuAHUAdABlAHMAKQAgACYAIABcACIAbQAgAFwAIgAgACYAIABGAEkAWABFAEQAKABTAGUAYwBvAG4AZABzACwAIABkAGUAYwBwAHIAZQBjACkAIAAmACAAXAAiAHMAXAAiAFwAbgAgACAAIAAgACkAXABuACkAOwBcAG4AKgAvAFwAbgBcAG4ALwAqACAASABPAFUAUgBTAF8ARABFAEMASABNAFMAOgBcAG4AXABuAFIAZQBjAGUAaQB2AGUAcwAgAGEAIABkAGUAYwBpAG0AYQBsACAAaABvAHUAcgBzACAAdgBhAGwAdQBlACAAYQBuAGQAIAByAGUAdAB1AHIAbgBzACAASABIAC4ATQBNAFMAUwBTAFMAXABuAFwAbgBFAC4AZwAuACAASABfAEgATQBTACgAMQAxAC4ANQA5ADEANgA3ADUAKQAgAD0AIAAxADEALgAzADUAMwAwADAAMwAgAD0AIAAoADEAMQBoACAAMwA1AG0AIAAzADAALgAwADMAcwApAFwAbgAqAC8AXABuAEgATwBVAFIAUwBfAEQARQBDAEgATQBTACAAPQAgAEwAQQBNAEIARABBACgARABlAGMAaQBtAGEAbABIAG8AdQByAHMALABcAG4AIAAgACAAIABMAEUAVAAoAFwAbgAgACAAIAAgACAAIAAgACAASABvAHUAcgBzACwAIABUAFIAVQBOAEMAKABEAGUAYwBpAG0AYQBsAEgAbwB1AHIAcwApACwAXABuACAAIAAgACAAIAAgACAAIABGAHIAYQBjAFAAbwByAHQAaQBvAG4ALAAgAEQAZQBjAGkAbQBhAGwASABvAHUAcgBzACAALQAgAEgAbwB1AHIAcwAsAFwAbgAgACAAIAAgACAAIAAgACAATQBpAG4AdQB0AGUAcwAsACAAQQBCAFMAKABGAHIAYQBjAFAAbwByAHQAaQBvAG4AIAAqACAANgAwACkALABcAG4AIAAgACAAIAAgACAAIAAgAEkAbgB0AE0AaQBuACwAIABUAFIAVQBOAEMAKABNAGkAbgB1AHQAZQBzACkALABcAG4AIAAgACAAIAAgACAAIAAgAEYAcgBhAGMATQBpAG4ALAAgAE0AaQBuAHUAdABlAHMAIAAtACAAVABSAFUATgBDACgASQBuAHQATQBpAG4AKQAsAFwAbgAgACAAIAAgACAAIAAgACAAUwBlAGMAbwBuAGQAcwAsACAARgByAGEAYwBNAGkAbgAgACoAIAA2ADAALABcAG4AIAAgACAAIAAgACAAIAAgAEgAbwB1AHIAcwAgACsAIABUAFIAVQBOAEMAKABNAGkAbgB1AHQAZQBzACkAIAAvACAAMQAwADAAIAArACAAUwBlAGMAbwBuAGQAcwAgAC8AIAAxADAAMAAwADAAXABuACAAIAAgACAAKQBcAG4AKQA7AFwAbgBcAG4ALwAqACAAXABuACAAIAAgACAASABPAFUAUgBTAF8ASABNAFMAIABGAHUAbgBjAHQAaQBvAG4AOgBcAG4AIAAgACAAIABDAG8AbgB2AGUAcgB0AHMAIABkAGUAYwBpAG0AYQBsACAAaABvAHUAcgBzACAAaQBuAHQAbwAgAGgAbwB1AHIAcwAsACAAbQBpAG4AdQB0AGUAcwAsACAAYQBuAGQAIABzAGUAYwBvAG4AZABzACAAZgBvAHIAbQBhAHQALgBcAG4AIAAgACAAIABQAGEAcgBhAG0AZQB0AGUAcgBzADoAXABuACAAIAAgACAALQAgAEQAZQBjAGkAbQBhAGwASABvAHUAcgBzADoAIABEAGUAYwBpAG0AYQBsACAAdgBhAGwAdQBlACAAcgBlAHAAcgBlAHMAZQBuAHQAaQBuAGcAIABoAG8AdQByAHMALgBcAG4AIAAgACAAIAAtACAAUAByAGUAYwBpAHMAaQBvAG4AIAAoAG8AcAB0AGkAbwBuAGEAbAApADoAIABOAHUAbQBiAGUAcgAgAG8AZgAgAGQAZQBjAGkAbQBhAGwAIABwAGwAYQBjAGUAcwAgAGYAbwByACAAcwBlAGMAbwBuAGQAcwAgACgAZABlAGYAYQB1AGwAdAAgAGkAcwAgADMAKQAuAFwAbgAqAC8AXABuAEgATwBVAFIAUwBfAEgATQBTACAAPQAgAEwAQQBNAEIARABBACgARABlAGMAaQBtAGEAbABIAG8AdQByAHMALAAgAFsAUAByAGUAYwBpAHMAaQBvAG4AXQAsAFwAbgAgACAAIAAgAEwARQBUACgAXABuACAAIAAgACAAIAAgACAAIABkAGUAYwBwAHIAZQBjACwAIABJAEYAKABJAFMATwBNAEkAVABUAEUARAAoAFAAcgBlAGMAaQBzAGkAbwBuACkALAAgADMALAAgAFAAcgBlAGMAaQBzAGkAbwBuACkALABcAG4AIAAgACAAIAAgACAAIAAgAEgAbwB1AHIAcwAsACAAVABSAFUATgBDACgARABlAGMAaQBtAGEAbABIAG8AdQByAHMAKQAsAFwAbgAgACAAIAAgACAAIAAgACAATQBpAG4AdQB0AGUAcwAsACAATQBPAEQAKABBAEIAUwAoAEQAZQBjAGkAbQBhAGwASABvAHUAcgBzACAAKgAgADYAMAApACwAIAA2ADAAKQAsAFwAbgAgACAAIAAgACAAIAAgACAAUwBlAGMAbwBuAGQAcwAsACAATQBPAEQAKABBAEIAUwAoAEQAZQBjAGkAbQBhAGwASABvAHUAcgBzACAAKgAgADMANgAwADAAKQAsACAANgAwACkALABcAG4AIAAgACAAIAAgACAAIAAgAEgAbwB1AHIAcwAgACYAIABcACIAaAAgAFwAIgAgACYAIABUAFIAVQBOAEMAKABNAGkAbgB1AHQAZQBzACkAIAAmACAAXAAiAG0AIABcACIAIAAmACAARgBJAFgARQBEACgAUwBlAGMAbwBuAGQAcwAsACAAZABlAGMAcAByAGUAYwApACAAJgAgAFwAIgBzAFwAIgBcAG4AIAAgACAAIAApAFwAbgApADsAXABuAFwAbgBEAEEAWQBTAF8AWQBEAEgATQBTACAAPQAgAEwAQQBNAEIARABBACgARABlAGMAaQBtAGEAbABEAGEAeQBzACwAIABbAFQAeQBwAGUAXQAsACAAWwBQAHIAZQBjAGkAcwBpAG8AbgBdACwAXABuACAAIAAgACAATABFAFQAKABcAG4AIAAgACAAIAAgACAAIAAgAHkAZQBhAHIAXwBsAGUAbgAsACAAUwBXAEkAVABDAEgAKABcAG4AIAAgACAAIAAgACAAIAAgACAAIAAgACAAVAB5AHAAZQAsAFwAbgAgACAAIAAgACAAIAAgACAAIAAgACAAIAAwACwAIAAzADYANQAsAFwAbgAgACAAIAAgACAAIAAgACAAIAAgACAAIAAxACwAIAAzADYANQAuADIANAAyADEAOQAsAFwAbgAgACAAIAAgACAAIAAgACAAIAAgACAAIAAyACwAIAAzADYANQAuADIANQAsAFwAbgAgACAAIAAgACAAIAAgACAAIAAgACAAIAAzACwAIAAzADYANQAuADIANQA2ADMANgAzADAAMAA0ACwAXABuACAAIAAgACAAIAAgACAAIAAgACAAIAAgADMANgA1ACAALwAvACAARABlAGYAYQB1AGwAdAAgAHYAYQBsAHUAZQAgAGkAZgAgAHQAeQBwAGUAIABkAG8AZQBzAG4AJwB0ACAAbQBhAHQAYwBoACAAYQBuAHkAIABzAHAAZQBjAGkAZgBpAGUAZAAgAGMAYQBzAGUAcwBcAG4AIAAgACAAIAAgACAAIAAgACkALABcAG4AIAAgACAAIAAgACAAIAAgAGQAZQBjAHAAcgBlAGMALAAgAEkARgAoAEkAUwBPAE0ASQBUAFQARQBEACgAUAByAGUAYwBpAHMAaQBvAG4AKQAsACAAMwAsACAAUAByAGUAYwBpAHMAaQBvAG4AKQAsAFwAbgAgACAAIAAgACAAIAAgACAAVABvAHQAYQBsAFkAZQBhAHIAcwAsACAARABlAGMAaQBtAGEAbABEAGEAeQBzACAALwAgAHkAZQBhAHIAXwBsAGUAbgAsAFwAbgAgACAAIAAgACAAIAAgACAAWQBlAGEAcgBzACwAIABUAFIAVQBOAEMAKABUAG8AdABhAGwAWQBlAGEAcgBzACkALABcAG4AIAAgACAAIAAgACAAIAAgAEYAcgBhAGMAWQBlAGEAcgAsACAAUgBPAFUATgBEACgAVABvAHQAYQBsAFkAZQBhAHIAcwAgAC0AIABZAGUAYQByAHMALAAgADEANQApACwAXABuACAAIAAgACAAIAAgACAAIABSAGUAbQBEAGEAeQBzACwAIABSAE8AVQBOAEQAKABGAHIAYQBjAFkAZQBhAHIAIAAqACAAeQBlAGEAcgBfAGwAZQBuACwAIAAxADAAKQAsAFwAbgAgACAAIAAgACAAIAAgACAARABhAHkAcwAsACAAVABSAFUATgBDACgAUgBlAG0ARABhAHkAcwAsACAAMAApACwAXABuACAAIAAgACAAIAAgACAAIABGAHIAYQBjAEQAYQB5AHMALAAgAFIATwBVAE4ARAAoAFIAZQBtAEQAYQB5AHMAIAAtACAARABhAHkAcwAsACAAMQAwACkALABcAG4AIAAgACAAIAAgACAAIAAgAFQAbwB0AGEAbABIAG8AdQByAHMALAAgAEYAcgBhAGMARABhAHkAcwAgACoAIAAyADQALABcAG4AIAAgACAAIAAgACAAIAAgAEgAbwB1AHIAcwAsACAAVABSAFUATgBDACgAVABvAHQAYQBsAEgAbwB1AHIAcwAsACAAMAApACwAXABuACAAIAAgACAAIAAgACAAIABGAHIAYQBjAEgAbwB1AHIAcwAsACAAVABvAHQAYQBsAEgAbwB1AHIAcwAgAC0AIABIAG8AdQByAHMALABcAG4AIAAgACAAIAAgACAAIAAgAFQAbwB0AGEAbABNAGkAbgB1AHQAZQBzACwAIABGAHIAYQBjAEgAbwB1AHIAcwAgACoAIAA2ADAALABcAG4AIAAgACAAIAAgACAAIAAgAE0AaQBuAHUAdABlAHMALAAgAFEAVQBPAFQASQBFAE4AVAAoAFQAbwB0AGEAbABNAGkAbgB1AHQAZQBzACwAIAAxACkALABcAG4AIAAgACAAIAAgACAAIAAgAEYAcgBhAGMATQBpAG4AdQB0AGUAcwAsACAAVABvAHQAYQBsAE0AaQBuAHUAdABlAHMAIAAtACAATQBpAG4AdQB0AGUAcwAsAFwAbgAgACAAIAAgACAAIAAgACAAUwBlAGMAbwBuAGQAcwAsACAARgByAGEAYwBNAGkAbgB1AHQAZQBzACAAKgAgADYAMAAsAFwAbgAgACAAIAAgACAAIAAgACAAWQBlAGEAcgBzACAAJgAgAFwAIgB5ACAAXAAiACAAJgAgAEQAYQB5AHMAIAAmACAAXAAiAGQAIABcACIAIAAmACAASABvAHUAcgBzACAAJgAgAFwAIgBoACAAXAAiACAAJgAgAE0AaQBuAHUAdABlAHMAIAAmACAAXAAiAG0AIABcACIAIAAmACAARgBJAFgARQBEACgAUwBlAGMAbwBuAGQAcwAsACAAZABlAGMAcAByAGUAYwApACAAJgAgAFwAIgBzAFwAIgBcAG4AIAAgACAAIAApAFwAbgApADsAXABuAFwAbgAvACoAIABIAE8AVQBSAFMAXwBEAEgATQBTADoAXABuAFwAbgBSAGUAYwBlAGkAdgBlAHMAIABhACAAZABlAGMAaQBtAGEAbAAgAG4AdQBtAGIAZQByACAAbwBmACAAaABvAHUAcgBzACAAYQBuAGQAIAByAGUAdAB1AHIAbgBzACAAZABhAHkAcwA6AGgAbwB1AHIAcwA6AG0AaQBuAHUAdABlAHMAOgBzAGUAYwBvAG4AZABz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EgATwBVAFIAUwBfAEQASABNAFMAIAA9ACAATABBAE0AQgBEAEEAKABEAGUAYwBpAG0AYQBsAEgAbwB1AHIAcwAsACAAWwBwAHIAZQBjAGkAcwBpAG8AbgBdACwAXABuACAAIAAgACAATABFAFQAKABcAG4AIAAgACAAIAAgACAAIAAgAHAAcgBlAGMAaQBzAGkAbwBuACwAIABJAEYAKABJAFMATwBNAEkAVABUAEUARAAoAHAAcgBlAGMAaQBzAGkAbwBuACkALAAgADMALAAgAHAAcgBlAGMAaQBzAGkAbwBuACkALABcAG4AIAAgACAAIAAgACAAIAAgAFQAbwB0AGEAbABEAGEAeQBzACwAIABEAGUAYwBpAG0AYQBsAEgAbwB1AHIAcwAgAC8AIAAyADQALABcAG4AIAAgACAAIAAgACAAIAAgAEQAYQB5AHMALAAgAFEAVQBPAFQASQBFAE4AVAAoAFQAbwB0AGEAbABEAGEAeQBzACwAIAAxACk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HMAZQBjAG8AbgBkAHMALAAgAHQAbwB0AGEAbABzAGUAYwBvAG4AZABzACAAKgAgADYAMAAsAFwAbgAgACAAIAAgACAAIAAgACAARABhAHkAcwAgACYAIABcACIAZAAgAFwAIgAgACYAIABoAG8AdQByAHMAIAAmACAAXAAiAGgAIABcACIAIAAmACAAbQBpAG4AdQB0AGUAcwAgACYAIABcACIAbQAgAFwAIgAgACYAIABGAEkAWABFAEQAKABzAGUAYwBvAG4AZABzACwAIABwAHIAZQBjAGkAcwBpAG8AbgApACAAJgAgAFwAIgBzAFwAIgBcAG4AIAAgACAAIAApAFwAbgApADsAXABuAFwAbgAvACoAIABIAE8AVQBSAFMAXwBZAEQASABNAFMAOgBcAG4AXABuAFIAZQBjAGUAaQB2AGUAcwAgAGEAIABkAGUAYwBpAG0AYQBsACAAbgB1AG0AYgBlAHIAIABvAGYAIABoAG8AdQByAHMAIABhAG4AZAAgAHIAZQB0AHUAcgBuAHMAIABkAGEAeQBzADoAaABvAHUAcgBzADoAbQBpAG4AdQB0AGUAcwA6AHMAZQBjAG8AbgBkAHM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CoALwBcAG4ASABPAFUAUgBTAF8AWQBEAEgATQBTACAAPQAgAEwAQQBNAEIARABBACgARABlAGMAaQBtAGEAbABIAG8AdQByAHMALAAgAFsAVAB5AHAAZQBdACwAIABbAHAAcgBlAGMAaQBzAGkAbwBuAF0ALABcAG4AIAAgACAAIABMAEUAVAAoAFwAbgAgACAAIAAgACAAIAAgACAAeQBlAGEAcgBfAGwAZQBuACwAIABTAFcASQBUAEMASAAoAFwAbgAgACAAIAAgACAAIAAgACAAIAAgACAAIABUAHkAcABlACwAXABuACAAIAAgACAAIAAgACAAIAAgACAAIAAgADAALAAgADgANwA2ADAALABcAG4AIAAgACAAIAAgACAAIAAgACAAIAAgACAAMQAsACAAOAA3ADYANQAuADgAMQAyADUANgAsAFwAbgAgACAAIAAgACAAIAAgACAAIAAgACAAIAAyACwAIAA4ADcANgA2ACwAXABuACAAIAAgACAAIAAgACAAIAAgACAAIAAgADMALAAgADgANwA2ADYALgAxADUAMgA3ADEAMgAwADkANgAsAFwAbgAgACAAIAAgACAAIAAgACAAIAAgACAAIAA4ADcANgAwACAALwAvACAARABlAGYAYQB1AGwAdAAgAHYAYQBsAHUAZQAgAGkAZgAgAHQAeQBwAGUAIABkAG8AZQBzAG4AJwB0ACAAbQBhAHQAYwBoACAAYQBuAHkAIABzAHAAZQBjAGkAZgBpAGUAZAAgAGMAYQBzAGUAcwBcAG4AIAAgACAAIAAgACAAIAAgACkALABcAG4AIAAgACAAIAAgACAAIAAgAHAAcgBlAGMAaQBzAGkAbwBuACwAIABJAEYAKABJAFMATwBNAEkAVABUAEUARAAoAHAAcgBlAGMAaQBzAGkAbwBuACkALAAgADMALAAgAHAAcgBlAGMAaQBzAGkAbwBuACkALABcAG4AIAAgACAAIAAgACAAIAAgAFQAbwB0AGEAbABZAGUAYQByAHMALAAgAEQAZQBjAGkAbQBhAGwASABvAHUAcgBzACAALwAgAHkAZQBhAHIAXwBsAGUAbgAsAFwAbgAgACAAIAAgACAAIAAgACAAWQBlAGEAcgBzACwAIABUAFIAVQBOAEMAKABUAG8AdABhAGwAWQBlAGEAcgBzACkALABcAG4AIAAgACAAIAAgACAAIAAgAEYAcgBhAGMAWQBlAGEAcgBzACwAIABUAG8AdABhAGwAWQBlAGEAcgBzACAALQAgAFkAZQBhAHIAcwAsAFwAbgAgACAAIAAgACAAIAAgACAAVABvAHQAYQBsAEQAYQB5AHMALAAgAEYAcgBhAGMAWQBlAGEAcgBzACAAKgAgADMANgA1ACwAXABuACAAIAAgACAAIAAgACAAIABEAGEAeQBzACwAIABUAFIAVQBOAEMAKABUAG8AdABhAGwARABhAHkAcwApACwAXABuACAAIAAgACAAIAAgACAAIABGAHIAYQBjAEQAYQB5AHMALAAgAFQAbwB0AGEAbABEAGEAeQBzACAALQAgAEQAYQB5AHMALABcAG4AIAAgACAAIAAgACAAIAAgAFQAbwB0AGEAbABIAG8AdQByAHMALAAgAEYAcgBhAGMARABhAHkAcwAgACoAIAAyADQALABcAG4AIAAgACAAIAAgACAAIAAgAGYAcgBhAGMAaABvAHUAcgBzACwAIABNAE8ARAAoAFQAbwB0AGEAbABEAGEAeQBzACwAIAAxACkALABcAG4AIAAgACAAIAAgACAAIAAgAGgAbwB1AHIAcwAsACAAUQBVAE8AVABJAEUATgBUACgAZgByAGEAYwBoAG8AdQByAHMAIAAqACAAMgA0ACwAIAAxACkALABcAG4AIAAgACAAIAAgACAAIAAgAHQAbwB0AGEAbABtAGkAbgB1AHQAZQBzACwAIABNAE8ARAAoAGYAcgBhAGMAaABvAHUAcgBzACAAKgAgADIANAAsACAAMQApACwAXABuACAAIAAgACAAIAAgACAAIABtAGkAbgB1AHQAZQBzACwAIABRAFUATwBUAEkARQBOAFQAKAB0AG8AdABhAGwAbQBpAG4AdQB0AGUAcwAgACoAIAA2ADAALAAgADEAKQAsAFwAbgAgACAAIAAgACAAIAAgACAAdABvAHQAYQBsAHMAZQBjAG8AbgBkAHMALAAgAE0ATwBEACgAdABvAHQAYQBsAG0AaQBuAHUAdABlAHMAIAAqACAANgAwACwAIAAxACkALABcAG4AIAAgACAAIAAgACAAIAAgAFMAZQBjAG8AbgBkAHMALAAgAE0ATwBEACgAVABvAHQAYQBsAEQAYQB5AHMAIAAqACAAOAA2ADQAMAAwACwAIAA2ADAAKQAsAFwAbgAgACAAIAAgACAAIAAgACAALwAqAHMAZQBjAG8AbgBkAHMALAAgAHQAbwB0AGEAbABzAGUAYwBvAG4AZABzACoANgAwACwAKgAvAFwAbgAgACAAIAAgACAAIAAgACAALwAqAEYAcgBhAGMASABvAHUAcgBzACoALwBcAG4AIAAgACAAIAAgACAAIAAgAFkAZQBhAHIAcwAgACYAIABcACIAeQAgAFwAIgAgACYAIABEAGEAeQBzACAAJgAgAFwAIgBkACAAXAAiACAAJgAgAGgAbwB1AHIAcwAgACYAIABcACIAaAAgAFwAIgAgACYAIABtAGkAbgB1AHQAZQBzACAAJgAgAFwAIgBtACAAXAAiACAAJgAgAEYASQBYAEUARAAoAFMAZQBjAG8AbgBkAHMALAAgAHAAcgBlAGMAaQBzAGkAbwBuACkAIAAmACAAXAAiAHMAXAAiAFwAbgAgACAAIAAgACkAXABuACkAOwBcAG4AXABuAC8AKgAgAFkARQBBAFIAUwBfAFkARABIAE0AUwA6AFwAbgBcAG4AUgBlAGMAZQBpAHYAZQBzACAAYQAgAGQAZQBjAGkAbQBhAGwAIABuAHUAbQBiAGUAcgAgAG8AZgAgAHkAZQBhAHIAcwAgAGEAbgBkACAAcgBlAHQAdQByAG4AcwAgAHkAZQBhAHIAcwA6AGQAYQB5AHMAOgBoAG8AdQByAHMAOgBtAGkAbgB1AHQAZQBzADoAcwBlAGMAbwBuAGQAcwBcAG4AIABUAHkAcABlACAAYwBvAGQAZQBzADoAXABuACAAIAAgACAAMAAgAD0AIABjAGEAbABlAG4AZABhAHIAIAB5AGUAYQByACAAKAAzADYANQBkACkAXABuACAAIAAgACAAMQAgAD0AIAB0AHIAbwBwAGkAYwBhAGwAIAB5AGUAYQByACAAKAAzADYANQAuADIANAAyADEAOQAgAGQAKQBcAG4AIAAgACAAIAAyACAAPQAgAGoAdQBsAGkAYQBuACAAeQBlAGEAcgAgACgAMwA2ADUALgAyADUAZAApAFwAbgAgACAAIAAgADMAIAA9ACAAcwBpAGQAZQByAGUAYQBsACAAeQBlAGEAcgAgACgAMwA2ADUALgAyADUANgAzADYAMwAwADAANABkACkAXABuACAAIAAgACAAZABlAGYAYQB1AGwAdABzACAAdABvACAAMABcAG4AUAByAGUAYwBpAHMAaQBvAG4AIABpAHMAIABhAG4AIABvAHAAdABpAG8AbgBhAGwAIABwAGEAcgBhAG0AZQB0AGUAcgAgAHcAaABpAGMAaAAgAHMAZQB0AHMAIABkAGUAYwBpAG0AYQBsACAAcABsAGEAYwBlAHMAXABuACAAIAAgACAAZgBvAHIAIAB0AGgAZQAgAFwAIgBzAGUAYwBvAG4AZABzAFwAIgAgAGUAbABlAG0AZQBuAHQAIABvAGYAIAB0AGgAZQAgAG8AdQB0AHAAdQB0ADsAIABkAGUAZgBhAHUAbAB0AHMAIAB0AG8AIAAzACAAaQBmACAAbwBtAGkAdAB0AGUAZABcAG4AKgAvAFwAbgBZAEUAQQBSAFMAXwBZAEQASABNAFMAIAA9ACAATABBAE0AQgBEAEEAKABEAGUAYwBpAG0AYQBsAFkAZQBhAHIALAAgAFsAVAB5AHAAZQBdACwAIABbAHAAcgBlAGMAaQBzAGkAbwBuAF0ALABcAG4AIAAgACAAIABMAEUAVAAoAFwAbgAgACAAIAAgACAAIAAgACAAeQBlAGEAcgBfAGwAZQBuACwAIABTAFcASQBUAEMASAAoAFQAeQBwAGUALAAgADAALAAgADMANgA1ACwAIAAxACwAIAAzADYANQAuADIANQAyADEAOQAsACAAMgAsACAAMwA2ADUALgAyADUALAAgADMALAAgADMANgA1AC4AMgA1ADYAMwA2ADMAMAAwADQALAAgACkALABcAG4AIAAgACAAIAAgACAAIAAgAHAAcgBlAGMAaQBzAGkAbwBuACwAIABJAEYAKABJAFMATwBNAEkAVABUAEUARAAoAHAAcgBlAGMAaQBzAGkAbwBuACkALAAgADMALAAgAHAAcgBlAGMAaQBzAGkAbwBuACkALABcAG4AIAAgACAAIAAgACAAIAAgAEQAYQB5AHMALAAgACgARABlAGMAaQBtAGEAbABZAGUAYQByACAALQAgAFQAUgBVAE4AQwAoAEQAZQBjAGkAbQBhAGwAWQBlAGEAcgApACkAIAAqACAAeQBlAGEAcgBfAGwAZQBuACwAXABuACAAIAAgACAAIAAgACAAIABIAG8AdQByAHMALAAgAE0ATwBEACgARABhAHkAcwAgACoAIAAyADQALAAgADIANAApACwAXABuACAAIAAgACAAIAAgACAAIABNAGkAbgB1AHQAZQBzACwAIABNAE8ARAAoAEQAYQB5AHMAIAAqACAAMQA0ADQAMAAsACAANgAwACkALABcAG4AIAAgACAAIAAgACAAIAAgAFMAZQBjAG8AbgBkAHMALAAgAE0ATwBEACgARABhAHkAcwAgACoAIAA4ADYANAAwADAALAAgADYAMAApACwAXABuACAAIAAgACAAIAAgACAAIABUAFIAVQBOAEMAKABEAGUAYwBpAG0AYQBsAFkAZQBhAHIAKQAgACYAIABcACIAeQAgAFwAIgAgACYAIABUAFIAVQBOAEMAKABEAGEAeQBzACkAIAAmACAAXAAiAGQAIABcACIAIAAmACAAVABSAFUATgBDACgASABvAHUAcgBzACkAIAAmACAAXAAiAGgAIABcACIAIAAmACAAVABSAFUATgBDACgATQBpAG4AdQB0AGUAcwApACAAJgBcAG4AIAAgACAAIAAgACAAIAAgACAAIAAgACAAXAAiAG0AIABcACIAIAAmACAARgBJAFgARQBEACgAUwBlAGMAbwBuAGQAcwAsACAAcAByAGUAYwBpAHMAaQBvAG4AKQAgACYAIABcACIAcwBcACIAXABuACAAIAAgACAAKQBcAG4AKQA7AFwAbgBcAG4ALwAqACAAWQBFAEEAUgBTAF8ARABIAE0AUwA6AFwAbgBcAG4AUgBlAGMAZQBpAHYAZQBzACAAYQAgAGQAZQBjAGkAbQBhAGwAIABuAHUAbQBiAGUAcgAgAG8AZgAgAHkAZQBhAHIAcwAgAGEAbgBkACAAcgBlAHQAdQByAG4AcwAgAGQAYQB5AHMAOgBoAG8AdQByAHMAOgBtAGkAbgB1AHQAZQBzADoAcwBlAGMAbwBuAGQAcwAsAFwAbgAgACAAIAAgAFQAeQBwAGUAIABjAG8AZABlAHMAOgBcAG4AIAAgACAAIAAwACAAPQAgAGMAYQBsAGUAbgBkAGEAcgAgAHkAZQBhAHIAIAAoADMANgA1AGQAKQBcAG4AIAAgACAAIAAxACAAPQAgAHQAcgBvAHAAaQBjAGEAbAAgAHkAZQBhAHIAIAAoADMANgA1AC4AMgA0ADIAMQA5ACAAZAApAFwAbgAgACAAIAAgADIAIAA9ACAAagB1AGwAaQBhAG4AIAB5AGUAYQByACAAKAAzADYANQAuADIANQBkACkAXABuACAAIAAgACAAMwAgAD0AIABzAGkAZABlAHIAZQBhAGwAIAB5AGUAYQByACAAKAAzADYANQAuADIANQA2ADMANgAzADAAMAA0AGQAKQBcAG4AIAAgACAAIABkAGUAZgBhAHUAbAB0AHMAIAB0AG8AIAAwAFwAbgBQAHIAZQBjAGkAcwBpAG8AbgAgAGkAcwAgAGEAbgAgAG8AcAB0AGkAbwBuAGEAbAAgAHAAYQByAGEAbQBlAHQAZQByACAAdwBoAGkAYwBoACAAcwBlAHQAcwAgAGQAZQBjAGkAbQBhAGwAIABwAGwAYQBjAGUAcwBcAG4AIAAgACAAIABmAG8AcgAgAHQAaABlACAAXAAiAHMAZQBjAG8AbgBkAHMAXAAiACAAZQBsAGUAbQBlAG4AdAAgAG8AZgAgAHQAaABlACAAbwB1AHQAcAB1AHQAOwAgAGQAZQBmAGEAdQBsAHQAcwAgAHQAbwAgADMAIABpAGYAIABvAG0AaQB0AHQAZQBkAFwAbgAqAC8AXABuAFkARQBBAFIAUwBfAEQASABNAFMAIAA9ACAATABBAE0AQgBEAEEAKABEAGUAYwBpAG0AYQBsAFkAZQBhAHIALAAgAFsAdAB5AHAAZQBdACwAIABbAFAAcgBlAGMAaQBzAGkAbwBuAF0ALABcAG4AIAAgACAAIABMAEUAVAAoAFwAbgAgACAAIAAgACAAIAAgACAAdAB5AHAAZQAsACAASQBGACgATwBSACgASQBTAE8ATQBJAFQAVABFAEQAKAB0AHkAcABlACkALAAgAHQAeQBwAGUAIAA+ACAAMwApACwAIAAwACwAIAB0AHkAcABlACkALABcAG4AIAAgACAAIAAgACAAIAAgAHkAZQBhAHIAXwBsAGUAbgAsACAAUwBXAEkAVABDAEgAKAB0AHkAcABlACwAIAAwACwAIAAzADYANQAsACAAMQAsACAAMwA2ADUALgAyADUAMgAxADkALAAgADIALAAgADMANgA1AC4AMgA1ACwAIAAzACwAIAAzADYANQAuADIANQA2ADMANgAzADAAMAA0ACwAIAApACwAXABuACAAIAAgACAAIAAgACAAIABwAHIAZQBjAGkAcwBpAG8AbgAsACAASQBGACgASQBTAE8ATQBJAFQAVABFAEQAKABQAHIAZQBjAGkAcwBpAG8AbgApACwAIAAzACwAIABQAHIAZQBjAGkAcwBpAG8AbgApACwAXABuACAAIAAgACAAIAAgACAAIABUAG8AdABhAGwARABhAHkAcwAsACAARABlAGMAaQBtAGEAbABZAGUAYQByACAAKgAgAHkAZQBhAHIAXwBsAGUAbgAsAFwAbgAgACAAIAAgACAAIAAgACAARABhAHkAcwAsACAAVABSAFUATgBDACgAVABvAHQAYQBsAEQAYQB5AHMAKQAsAFwAbgAgACAAIAAgACAAIAAgACAARgByAGEAYwBEAGEAeQBzACwAIABUAG8AdABhAGwARABhAHkAcwAgAC0AIABEAGEAeQBzACwAXABuACAAIAAgACAAIAAgACAAIABUAG8AdABhAGwASABvAHUAcgBzACwAIABGAHIAYQBjAEQAYQB5AHMAIAAqACAAMgA0ACwAXABuACAAIAAgACAAIAAgACAAIABIAG8AdQByAHMALAAgAFQAUgBVAE4AQwAoAFQAbwB0AGEAbABIAG8AdQByAHMAKQAsAFwAbgAgACAAIAAgACAAIAAgACAARgByAGEAYwBIAG8AdQByAHMALAAgAFQAbwB0AGEAbABIAG8AdQByAHMAIAAtACAASABvAHUAcgBzACwAXABuACAAIAAgACAAIAAgACAAIABUAG8AdABhAGwATQBpAG4AdQB0AGUAcwAsACAARgByAGEAYwBIAG8AdQByAHMAIAAqACAANgAwACwAXABuACAAIAAgACAAIAAgACAAIABNAGkAbgB1AHQAZQBzACwAIABUAFIAVQBOAEMAKABUAG8AdABhAGwATQBpAG4AdQB0AGUAcwApACwAXABuACAAIAAgACAAIAAgACAAIABGAHIAYQBjAE0AaQBuAHUAdABlAHMALAAgAFQAbwB0AGEAbABNAGkAbgB1AHQAZQBzACAALQAgAE0AaQBuAHUAdABlAHMALABcAG4AIAAgACAAIAAgACAAIAAgAFMAZQBjAG8AbgBkAHMALAAgAEYASQBYAEUARAAoAEYAcgBhAGMATQBpAG4AdQB0AGUAcwAgACoAIAA2ADAALAAgAHAAcgBlAGMAaQBzAGkAbwBuACkALABcAG4AIAAgACAAIAAgACAAIAAgAEQAYQB5AHMAIAAmACAAXAAiAGQAIABcACIAIAAmACAASABvAHUAcgBzACAAJgAgAFwAIgBoACAAXAAiACAAJgAgAE0AaQBuAHUAdABlAHMAIAAmACAAXAAiAG0AIABcACIAIAAmACAARgBJAFgARQBEACgAUwBlAGMAbwBuAGQAcwAsACAAcAByAGUAYwBpAHMAaQBvAG4AKQAgACYAIABcACIAcwBcACIAXABuACAAIAAgACAAKQBcAG4AKQA7AFwAbgBcAG4ALwAqACAARABBAFQARQBfAEgARQA6AFwAbgBcAG4AQwBhAGwAYwB1AGwAYQB0AGUAcwAgAHQAaABlACAASAB1AG0AYQBuACAARQByAGEAIABkAGEAdABlACAAZgByAG8AbQAgAHQAaABlACAAQwBFACAARABhAHQAZQBcAG4AKgAvAFwAbgBEAEEAVABFAF8AVABPAF8ASABFACAAPQAgAEwAQQBNAEIARABBACgAaQBuAHAAdQB0ACwAIABJAEYAKABpAG4AcAB1AHQAIAA8ACAAMAAsACAAaQBuAHAAdQB0ACAAKwAgADEAMAAwADAAMQAsACAAaQBuAHAAdQB0ACAAKwAgADEAMAAwADAAMAApACkAOwBcAG4AXABuAC8AKgAgAEQAQQBUAEUAXwBCAFAAVABPAEMARQA6AFwAbgBcAG4AQwBvAG4AdgBlAHIAdABzACAAYQAgAEIAUAAgAGQAZQBjAGkAbQBhAGwAIABkAGEAdABlACAAdABvACAAQwBFAFwAbgBpAG4AcAB1AHQAIABtAHUAcwB0ACAAYgBlACAAYQAgAGQAZQBjAGkAbQBhAGwAIABuAHUAbQBiAGUAcgAgAHcAaQB0AGgAbwB1AHQAIAB0AGgAZQAgAHMAdQBmAGYAaQB4AFwAbgAqAC8AXABuAEQAQQBUAEUAXwBCAFAAVABPAEMARQAgAD0AIABMAEEATQBCAEQAQQAoAGkAbgBwAHUAdAAsACAALQBpAG4AcAB1AHQAIAArACAAMQA5ADUAMAApADsAXABuAFwAbgAvACoAIABEAEEAVABFAF8AQwBFAFQATwBCAFAAOgBcAG4AXABuAEMAbwBuAHYAZQByAHQAcwAgAGEAIABDAEUAIABkAGEAdABlACAAdABvACAAQgBQAFwAbgByAGUAdAB1AHIAbgAgAHYAYQBsAHUAZQAgAGkAcwAgAGEAIABkAGUAYwBpAG0AYQBsACAAbgB1AG0AYgBlAHIAIAB3AGkAdABoAG8AdQB0ACAAdABoAGUAIABzAHUAZgBmAGkAeABcAG4AKgAvAFwAbgBEAEEAVABFAF8AQwBFAFQATwBCAFAAIAA9ACAATABBAE0AQgBEAEEAKABpAG4AcAB1AHQALAAgADEAOQA1ADAAIAAtACAAaQBuAHAAdQB0ACkAOwBcAG4AXABuAC8AKgAgAEgATwBVAFIAUwBfAEYAUgBPAE0ARABFAEMAXABuACAAIAAgACAAcgBlAHQAdQByAG4AcwAgAEEATQAtAFAATQAgAGkAbgAgADEAMgAtAGgAbwB1AHIAIABmAG8AcgBtAGEAdABcAG4AKgAvAFwAbgBIAE8AVQBSAFMAXwBGAFIATwBNAEQARQBDACAAPQAgAEwAQQBNAEIARABBACgAaQBuAHAAdQB0ACwAXABuACAAIAAgACAATABFAFQAKABcAG4AIAAgACAAIAAgACAAIAAgAG0AaQBsAF8AaABvAHUAcgAsACAAVABSAFUATgBDACgAaQBuAHAAdQB0ACkALABcAG4AIAAgACAAIAAgACAAIAAgAGgAbwB1AHIALAAgAE0ATwBEACgAbQBpAGwAXwBoAG8AdQByACwAIAAyADQAKQAsAFwAbgAgACAAIAAgACAAIAAgACAAYwBvAG4AdgBfAGgAbwB1AHIALAAgAEkARgAoAGgAbwB1AHIAIAA+ACAAMQAyACwAIABoAG8AdQByACAALQAgADEAMgAsACAAaABvAHUAcgApACwAXABuACAAIAAgACAAIAAgACAAIABtAGkAbgB1AHQAZQAsACAAUgBPAFUATgBEACgAKABpAG4AcAB1AHQAIAAtACAAbQBpAGwAXwBoAG8AdQByACkAIAAqACAANgAwACwAIAAwACkALABcAG4AIAAgACAAIAAgACAAIAAgAHMAdQBmAGYAaQB4ACwAIABJAEYAKABoAG8AdQByACAAPAAgADEAMgAsACAAXAAiACAAQQBNAFwAIgAsACAAXAAiACAAUABNAFwAIgApACwAXABuACAAIAAgACAAIAAgACAAIABvAHUAdABwAHUAdAAsACAAVABFAFgAVAAoAGMAbwBuAHYAXwBoAG8AdQByACwAIABcACIAMAAwAFwAIgApACAAJgAgAFwAIgA6AFwAIgAgACYAIABUAEUAWABUACgAbQBpAG4AdQB0AGUALAAgAFwAIgAwADAAXAAiACkAIAAmACAAcwB1AGYAZgBpAHgALABcAG4AIAAgACAAIAAgACAAIAAgAG8AdQB0AHAAdQB0AFwAbgAgACAAIAAgACkAXABuACkAOwBcAG4AXABuAC8AKgAgAEgATwBVAFIAUwBfAFQATwBEAEUAQwBcAG4AXABuAEMAbwBuAHYAZQByAHQAcwAgAGEAIAB0AGkAbQBlACAAaQBuAHAAdQB0ACAAaQBuACAAMgA0AC0AaABvAHUAcgAgAHQAaQBtAGUAIABmAG8AcgBtAGEAdAAgACgAMgAzADoANAA1ACkAIABpAG4AdABvAFwAbgAgACAAIAAgAGEAIABkAGUAYwBpAG0AYQBsACAASABIAC4ASABIACAAKAAyADMALgA3ADUAKQAgAGYAbwByAG0AYQB0AFwAbgAgACAAIAAgAGkAbgBwAHUAdAAgAG0AYQB5ACAAZQBpAHQAaABlAHIAIABiAGUAIABhACAAdABpAG0AZQAtAGYAbwByAG0AYQB0AHQAZQBkACAAYwBlAGwAbAAgAG8AcgAgAGEAIABzAHQAcgBpAG4AZwBcAG4AKgAvAFwAbgBIAE8AVQBSAFMAXwBUAE8ARABFAEMAIAA9ACAATABBAE0AQgBEAEEAKABpAG4AcAB1AHQALABcAG4AIAAgACAAIABMAEUAVAAoAFwAbgAgACAAIAAgACAAIAAgACAAdABlAHMAdAAsACAASQBTAFQARQBYAFQAKABpAG4AcAB1AHQAKQAsAFwAbgAgACAAIAAgACAAIAAgACAAYwBvAG4AdgAsACAAVABFAFgAVAAoAGkAbgBwAHUAdAAsACAAXAAiAEgASAA6AE0ATQBcACIAKQAsAFwAbgAgACAAIAAgACAAIAAgACAAaABvAHUAcgAsACAAVABFAFgAVABCAEUARgBPAFIARQAoAGMAbwBuAHYALAAgAFwAIgA6AFwAIgApACwAXABuACAAIAAgACAAIAAgACAAIABtAGkAbgAsACAATABFAEYAVAAoAFQARQBYAFQAQQBGAFQARQBSACgAYwBvAG4AdgAsACAAXAAiADoAXAAiACkALAAgADIAKQAsAFwAbgAgACAAIAAgACAAIAAgACAAbQBpAG4AdQB0AGUAcwAsACAAbQBpAG4AIAAvACAANgAwACwAXABuACAAIAAgACAAIAAgACAAIABvAHUAdABwAHUAdAAsACAAaABvAHUAcgAgACsAIABtAGkAbgB1AHQAZQBzACwAXABuACAAIAAgACAAIAAgACAAIABvAHUAdABwAHUAdABcAG4AIAAgACAAIAApAFwAbgApADsAXABuAFwAbgAvACoAIABEAEEAVABFAF8ARgBSAE8ATQBUAEUAWABUADoAXABuAFwAbgBDAG8AbgB2AGUAcgB0AHMAIABhACAAZABhAHQAZQAgAHMAdAByAGkAbgBnACAAdwBpAHQAaAAgAGEAIABzAHUAZgBmAGkAeAAgAHQAbwAgAGEAIABkAGUAYwBpAG0AYQBsACAAdgBhAGwAdQBlAC4AXABuACoALwBcAG4ARABBAFQARQBfAEYAUgBPAE0AVABFAFgAVAAgAD0AIABMAEEATQBCAEQAQQAoAGkAbgBwAHUAdAAsAFwAbgAgACAAIAAgAEwARQBUACgAXABuACAAIAAgACAAIAAgACAAIABzAHUAZgBmAGkAeAAsACAAVQBQAFAARQBSACgAXABuACAAIAAgACAAIAAgACAAIAAgACAAIAAgAEkARgBTACgAXABuACAAIAAgACAAIAAgACAAIAAgACAAIAAgACAAIAAgACAASQBTAE4AVQBNAEIARQBSACgAUwBFAEEAUgBDAEgAKABcACIAQgBcACIALAAgAGkAbgBwAHUAdAApACkALABcAG4AIAAgACAAIAAgACAAIAAgACAAIAAgACAAIAAgACAAIABNAEkARAAoAGkAbgBwAHUAdAAsACAAUwBFAEEAUgBDAEgAKABcACIAQgBcACIALAAgAGkAbgBwAHUAdAApACwAIABMAEUATgAoAGkAbgBwAHUAdAApACkALABcAG4AIAAgACAAIAAgACAAIAAgACAAIAAgACAAIAAgACAAIABJAFMATgBVAE0AQgBFAFIAKABTAEUAQQBSAEMASAAoAFwAIgBDAFwAIgAsACAAaQBuAHAAdQB0ACkAKQAsAFwAbgAgACAAIAAgACAAIAAgACAAIAAgACAAIAAgACAAIAAgAE0ASQBEACgAaQBuAHAAdQB0ACwAIABTAEUAQQBSAEMASAAoAFwAIgBDAFwAIgAsACAAaQBuAHAAdQB0ACkALAAgAEwARQBOACgAaQBuAHAAdQB0ACkAKQAsAFwAbgAgACAAIAAgACAAIAAgACAAIAAgACAAIAAgACAAIAAgAEkAUwBOAFUATQBCAEUAUgAoAFMARQBBAFIAQwBIACgAXAAiAEEAXAAiACwAIABpAG4AcAB1AHQAKQApACwAXABuACAAIAAgACAAIAAgACAAIAAgACAAIAAgACAAIAAgACAATQBJAEQAKABpAG4AcAB1AHQALAAgAFMARQBBAFIAQwBIACgAXAAiAEEAXAAiACwAIABpAG4AcAB1AHQAKQAsACAATABFAE4AKABpAG4AcAB1AHQAKQApACwAXABuACAAIAAgACAAIAAgACAAIAAgACAAIAAgACAAIAAgACAASQBTAE4AVQBNAEIARQBSACgAUwBFAEEAUgBDAEgAKABcACIASABcACIALAAgAGkAbgBwAHUAdAApACkALABcAG4AIAAgACAAIAAgACAAIAAgACAAIAAgACAAIAAgACAAIABNAEkARAAoAGkAbgBwAHUAdAAsACAAUwBFAEEAUgBDAEgAKABcACIASABcACIALAAgAGkAbgBwAHUAdAApACwAIABMAEUATgAoAGkAbgBwAHUAdAApACkAXABuACAAIAAgACAAIAAgACAAIAAgACAAIAAgACkAXABuACAAIAAgACAAIAAgACAAIAApACwAXABuACAAIAAgACAAIAAgACAAIABTAHUAZgBmAEMAaABlAGMAawAsACAAUwBXAEkAVABDAEgAKABzAHUAZgBmAGkAeAAsACAAXAAiAEIAQwBcACIALAAgADEALAAgAFwAIgBCAEMARQBcACIALAAgADEALAAgAFwAIgBBAEQAXAAiACwAIAAyACwAIABcACIAQwBFAFwAIgAsACAAMgAsACAAXAAiAEIAUABcACIALAAgADMALAAgAFwAIgBIAEUAXAAiACwAIAA0ACwAIABcACIAQgBIAEUAXAAiACwAIAA1ACkALABcAG4AIAAgACAAIAAgACAAIAAgAHYAYQBsAHUAZQAsACAAVgBBAEwAVQBFACgAVABFAFgAVABCAEUARgBPAFIARQAoAGkAbgBwAHUAdAAsACAAcwB1AGYAZgBpAHgAKQApACwAXABuACAAIAAgACAAIAAgACAAIABCAFAAYwBoAGUAYwBrACwAIAAxADkANQAwACAALQAgAHYAYQBsAHUAZQAsAFwAbgAgACAAIAAgACAAIAAgACAAbwB1AHQAcAB1AHQALAAgAFMAVwBJAFQAQwBIACgAXABuACAAIAAgACAAIAAgACAAIAAgACAAIAAgAFQAUgBVAEUAKAApACwAXABuACAAIAAgACAAIAAgACAAIAAgACAAIAAgAEEATgBEACgAUwB1AGYAZgBDAGgAZQBjAGsAIAA9ACAAMQAsACAAdgBhAGwAdQBlACAAPQAgADAAKQAsACAAXAAiACMAVgBBAEwAVQBFACEAXAAiACwAXABuACAAIAAgACAAIAAgACAAIAAgACAAIAAgAEEATgBEACgAUwB1AGYAZgBDAGgAZQBjAGsAIAA9ACAAMQAsACAAdgBhAGwAdQBlACAAPgAgADAAKQAsACAAMAAgAC0AIAB2AGEAbAB1AGUALABcAG4AIAAgACAAIAAgACAAIAAgACAAIAAgACAAQQBOAEQAKABTAHUAZgBmAEMAaABlAGMAawAgAD0AIAAyACwAIAB2AGEAbAB1AGUAIAA9ACAAMAApACwAIABcACIAIwBWAEEATABVAEUAIQBcACIALABcAG4AIAAgACAAIAAgACAAIAAgACAAIAAgACAAQQBOAEQAKABTAHUAZgBmAEMAaABlAGMAawAgAD0AIAAyACwAIAB2AGEAbAB1AGUAIAA8AD4AIAAwACkALAAgAHYAYQBsAHUAZQAsAFwAbgAgACAAIAAgACAAIAAgACAAIAAgACAAIABBAE4ARAAoAFMAdQBmAGYAQwBoAGUAYwBrACAAPQAgADMALAAgAHYAYQBsAHUAZQAgAD0AIAAwACkALAAgADEAOQA1ADAAIAAtACAAdgBhAGwAdQBlACAALQAgAEkARgAoAHYAYQBsAHUAZQAgADwAIAAwACwAIAAxACwAIAAwACkALABcAG4AIAAgACAAIAAgACAAIAAgACAAIAAgACAAQQBOAEQAKABTAHUAZgBmAEMAaABlAGMAawAgAD0AIAAzACwAIAB2AGEAbAB1AGUAIAA+ACAAMAApACwAIAAxADkANQAwACAALQAgAHYAYQBsAHUAZQAsAFwAbgAgACAAIAAgACAAIAAgACAAIAAgACAAIABBAE4ARAAoAFMAdQBmAGYAQwBoAGUAYwBrACAAPQAgADQALAAgAHYAYQBsAHUAZQAgAD4AIAAwACkALAAgAC0AMQAwADAAMAAwACAAKwAgAHYAYQBsAHUAZQAsAFwAbgAgACAAIAAgACAAIAAgACAAIAAgACAAIABBAE4ARAAoAFMAdQBmAGYAQwBoAGUAYwBrACAAPQAgADUALAAgAHYAYQBsAHUAZQAgAD4AIAAwACkALAAgAC0AMQAwADAAMAAwACAALQAgAHYAYQBsAHUAZQBcAG4AIAAgACAAIAAgACAAIAAgACkALABcAG4AIAAgACAAIAAgACAAIAAgAG8AdQB0AHAAdQB0AFwAbgAgACAAIAAgACkAXABuACkAOwBcAG4AXABuAC8AKgAgAEQAQQBUAEUAXwBHAEUAVABWAEEATAA6AFwAbgBcAG4AQwBvAG4AdgBlAHIAdABzACAAYQAgAGQAYQB0AGUAIABzAHQAcgBpAG4AZwAgAHcAaQB0AGgAIABhACAAcwB1AGYAZgBpAHgAIAB0AG8AIABhACAAZABlAGMAaQBtAGEAbAAgAHYAYQBsAHUAZQAuAFwAbgAqAC8AXABuAEQAQQBUAEUAXwBHAEUAVABWAEEATAAgAD0AIABMAEEATQBCAEQAQQAoAGkAbgBwAHUAdAAsAFwAbgAgACAAIAAgAEwARQBUACgAXABuACAAIAAgACAAIAAgACAAIABzAHUAZgBmAGkAeAAsACAAVQBQAFAARQBSACgAXABuACAAIAAgACAAIAAgACAAIAAgACAAIAAgAFMAVwBJAFQAQwBIACgAXABuACAAIAAgACAAIAAgACAAIAAgACAAIAAgACAAIAAgACAAVABSAFUARQAoACkALABcAG4AIAAgACAAIAAgACAAIAAgACAAIAAgACAAIAAgACAAIABJAFMATgBVAE0AQgBFAFIAKABTAEUAQQBSAEMASAAoAFwAIgBCAFwAIgAsACAAaQBuAHAAdQB0ACkAKQAsACAATQBJAEQAKABpAG4AcAB1AHQALAAgAFMARQBBAFIAQwBIACgAXAAiAEIAXAAiACwAIABpAG4AcAB1AHQAKQAsACAATABFAE4AKABpAG4AcAB1AHQAKQApACwAXABuACAAIAAgACAAIAAgACAAIAAgACAAIAAgACAAIAAgACAASQBTAE4AVQBNAEIARQBSACgAUwBFAEEAUgBDAEgAKABcACIAQwBcACIALAAgAGkAbgBwAHUAdAApACkALAAgAE0ASQBEACgAaQBuAHAAdQB0ACwAIABTAEUAQQBSAEMASAAoAFwAIgBDAFwAIgAsACAAaQBuAHAAdQB0ACkALAAgAEwARQBOACgAaQBuAHAAdQB0ACkAKQAsAFwAbgAgACAAIAAgACAAIAAgACAAIAAgACAAIAAgACAAIAAgAEkAUwBOAFUATQBCAEUAUgAoAFMARQBBAFIAQwBIACgAXAAiAEEAXAAiACwAIABpAG4AcAB1AHQAKQApACwAIABNAEkARAAoAGkAbgBwAHUAdAAsACAAUwBFAEEAUgBDAEgAKABcACIAQQBcACIALAAgAGkAbgBwAHUAdAApACwAIABMAEUATgAoAGkAbgBwAHUAdAApACkALABcAG4AIAAgACAAIAAgACAAIAAgACAAIAAgACAAIAAgACAAIABJAFMATgBVAE0AQgBFAFIAKABTAEUAQQBSAEMASAAoAFwAIgBIAFwAIgAsACAAaQBuAHAAdQB0ACkAKQAsACAATQBJAEQAKABpAG4AcAB1AHQALAAgAFMARQBBAFIAQwBIACgAXAAiAEgAXAAiACwAIABpAG4AcAB1AHQAKQAsACAATABFAE4AKABpAG4AcAB1AHQAKQApACwAXABuACAAIAAgACAAIAAgACAAIAAgACAAIAAgACAAIAAgACAAXAAiAFwAIgBcAG4AIAAgACAAIAAgACAAIAAgACAAIAAgACAAKQBcAG4AIAAgACAAIAAgACAAIAAgACkALABcAG4AIAAgACAAIAAgACAAIAAgAFMAdQBmAGYAQwBoAGUAYwBrACwAIABTAFcASQBUAEMASAAoAHMAdQBmAGYAaQB4ACwAIABcACIAQgBDAFwAIgAsACAAMQAsACAAXAAiAEIAQwBFAFwAIgAsACAAMQAsACAAXAAiAEEARABcACIALAAgADIALAAgAFwAIgBDAEUAXAAiACwAIAAyACwAIABcACIAQgBQAFwAIgAsACAAMwAsACAAXAAiAEgARQBcACIALAAgADQALAAgAFwAIgBCAEgARQBcACIALAAgADUAKQAsAFwAbgAgACAAIAAgACAAIAAgACAAdgBhAGwAdQBlACwAIABWAEEATABVAEUAKABUAEUAWABUAEIARQBGAE8AUgBFACgAaQBuAHAAdQB0ACwAIABzAHUAZgBmAGkAeAApACkALABcAG4AIAAgACAAIAAgACAAIAAgAHYAYQBsAHUAZQBcAG4AIAAgACAAIAApAFwAbgApADsAXABuAFwAbgAvACoAIABEAEEAVABFAF8AVABPAFQARQBYAFQAOgBcAG4AXABuACAAIAAgACAAQwBvAG4AdgBlAHIAdABzACAAYQAgAGQAZQBjAGkAbQBhAGwAIABkAGEAdABlACAAdgBhAGwAdQBlACAAdABvACAAYQAgAHMAdAByAGkAbgBnAFwAbgAgACAAIAAgAFsAbQBvAGQAZQBdACAAaQBzACAAYQBuACAAbwBwAHQAaQBvAG4AYQBsACAAcABhAHIAYQBtAGUAdABlAHIAOwBcAG4AIAAgACAAIAAgACAAIAAgAD0AIAAwACAAKABkAGUAZgBhAHUAbAB0ACkAOgAgAHIAZQB0AHUAcgBuAHMAIABhACAAQwBvAG0AbQBvAG4AIABFAHIAYQAgAEQAYQB0AGUAXABuACAAIAAgACAAIAAgACAAIAA9ACAAMQA6ACAAcgBlAHQAdQByAG4AcwAgAGEAIABDAGgAcgBpAHMAdABpAGEAbgAgAEUAcgBhACAARABhAHQAZQBcAG4AIAAgACAAIAAgACAAIAAgAD0AIAAyADoAIAByAGUAdAB1AHIAbgBzACAAYQAgAEIAZQBmAG8AcgBlACAAUAByAGUAcwBlAG4AdAAgAEQAYQB0AGUAXABuACAAIAAgACAAIAAgACAAIAA9ACAAMwA6ACAAcgBlAHQAdQByAG4AcwAgAGEAIABZAGUAYQByAHMAIABBAGcAbwAgAEQAYQB0AGUAXABuACoALwBcAG4ARABBAFQARQBfAFQATwBUAEUAWABUACAAPQAgAEwAQQBNAEIARABBACgAaQBuAHAAdQB0ACwAIABbAG0AbwBkAGUAXQAsAFwAbgAgACAAIAAgAEwARQBUACgAXABuACAAIAAgACAAIAAgACAAIABtAG8AZABlACwAIABJAEYAKABPAFIAKABJAFMATwBNAEkAVABUAEUARAAoAG0AbwBkAGUAKQAsACAAbQBvAGQAZQAgAD4AIAAzACkALAAgADAALAAgAG0AbwBkAGUAKQAsAFwAbgAgACAAIAAgACAAIAAgACAAbwB1AHQAcAB1AHQALAAgAFMAVwBJAFQAQwBIACgAXABuACAAIAAgACAAIAAgACAAIAAgACAAIAAgAG0AbwBkAGUALABcAG4AIAAgACAAIAAgACAAIAAgACAAIAAgACAAMAAsACAASQBGAFMAKABcAG4AIAAgACAAIAAgACAAIAAgACAAIAAgACAAIAAgACAAIABpAG4AcAB1AHQAIAA8ACAAMAAsAFwAbgAgACAAIAAgACAAIAAgACAAIAAgACAAIAAgACAAIAAgAFQARQBYAFQAKABBAEIAUwAoAGkAbgBwAHUAdAApACwAIABcACIAMABcACIAKQAgACYAIABJAEYAKABpAG4AcAB1AHQAIAA8AD4AIAAwACwAIABcACIAIABCAEMARQBcACIALAAgAFwAIgBcACIAKQAsAFwAbgAgACAAIAAgACAAIAAgACAAIAAgACAAIAAgACAAIAAgAGkAbgBwAHUAdAAgAD0AIAAwACwAXABuACAAIAAgACAAIAAgACAAIAAgACAAIAAgACAAIAAgACAAXAAiACMAVgBBAEwAVQBFACEAXAAiACwAXABuACAAIAAgACAAIAAgACAAIAAgACAAIAAgACAAIAAgACAAVABSAFUARQAsAFwAbgAgACAAIAAgACAAIAAgACAAIAAgACAAIAAgACAAIAAgAFQARQBYAFQAKABBAEIAUwAoAGkAbgBwAHUAdAApACwAIABcACIAMABcACIAKQAgACYAIABcACIAIABDAEUAXAAiAFwAbgAgACAAIAAgACAAIAAgACAAIAAgACAAIAApACwAXABuACAAIAAgACAAIAAgACAAIAAgACAAIAAgADEALAAgAEkARgBTACgAXABuACAAIAAgACAAIAAgACAAIAAgACAAIAAgACAAIAAgACAAaQBuAHAAdQB0ACAAPAAgADAALABcAG4AIAAgACAAIAAgACAAIAAgACAAIAAgACAAIAAgACAAIABUAEUAWABUACgAQQBCAFMAKABpAG4AcAB1AHQAKQAsACAAXAAiADAAXAAiACkAIAAmACAASQBGACgAaQBuAHAAdQB0ACAAPAA+ACAAMAAsACAAXAAiACAAQgBDAFwAIgAsACAAXAAiAFwAIgApACwAXABuACAAIAAgACAAIAAgACAAIAAgACAAIAAgACAAIAAgACAAaQBuAHAAdQB0ACAAPQAgADAALABcAG4AIAAgACAAIAAgACAAIAAgACAAIAAgACAAIAAgACAAIABcACIAIwBWAEEATABVAEUAIQBcACIALABcAG4AIAAgACAAIAAgACAAIAAgACAAIAAgACAAIAAgACAAIABUAFIAVQBFACwAXABuACAAIAAgACAAIAAgACAAIAAgACAAIAAgACAAIAAgACAAVABFAFgAVAAoAEEAQgBTACgAaQBuAHAAdQB0ACkALAAgAFwAIgAwAFwAIgApACAAJgAgAFwAIgAgAEEARABcACIAXABuACAAIAAgACAAIAAgACAAIAAgACAAIAAgACkALABcAG4AIAAgACAAIAAgACAAIAAgACAAIAAgACAAMgAsACAAVABFAFgAVAAoADEAOQA1ADAAIAAtACAAaQBuAHAAdQB0ACwAIABcACIAMABcACIAKQAgACYAIABJAEYAKABpAG4AcAB1AHQAIAA8AD4AIAAwACwAIABcACIAIABCAFAAXAAiACwAIABcACIAXAAiACkALABcAG4AIAAgACAAIAAgACAAIAAgACAAIAAgACAAMwAsACAAVABFAFgAVAAoAFkARQBBAFIAKABUAE8ARABBAFkAKAApACkAIAAtACAAaQBuAHAAdQB0ACwAIABcACIAMABcACIAKQAgACYAIABJAEYAKABpAG4AcAB1AHQAIAA8AD4AIAAwACwAIABcACIAIABZAEEAXAAiACwAIABcACIAXAAiACkAXABuACAAIAAgACAAIAAgACAAIAApACwAXABuACAAIAAgACAAIAAgACAAIABvAHUAdABwAHUAdABcAG4AIAAgACAAIAApAFwAbgApADsAXABuAFwAbgAvACoAIABTAEUAUgBJAEEATABUAE8ARABBAFQARQBcAG4AQwBvAG4AdgBlAHIAdABzACAAYQAgAHMAZQByAGkAYQBsACAAbgB1AG0AYgBlAHIAIAB0AG8AIABhACAAZABhAHQAZQAgAGYAaQBlAGwAZABcAG4AKgAvAFwAbgBTAEUAUgBJAEEATABUAE8ARABBAFQARQAgAD0AIABMAEEATQBCAEQAQQAoAHMAZQByAGkAYQBsACwAIABbAGYAbQB0AF0ALABcAG4AIAAgACAAIABMAEUAVAAoAGYAbwByAG0AYQB0ACwAIABJAEYAKABJAFMATwBNAEkAVABUAEUARAAoAGYAbQB0ACkALAAgAFwAIgBtAG0ALwBkAGQALwB5AHkAeQB5AFwAIgAsACAAZgBtAHQAKQAsACAAdABlAHgAdABfAHYAYQBsACwAIABUAEUAWABUACgAcwBlAHIAaQBhAGwALAAgAGYAbwByAG0AYQB0ACkALAAgAHQAZQB4AHQAXwB2AGEAbAApAFwAbgApADsAXABuAFwAbgAvACoAIABUAEkATQBFAF8ARgBSAE8ATQBNAEkATABcAG4AIAAgACAAIABDAG8AbgB2AGUAcgB0AHMAIABtAGkAbABpAHQAYQByAHkAIAB0AGkAbQBlACAAKAAxADgAMwAwACkALAAgAHQAbwAgADEAMgAtAGgAbwB1AHIAIAB0AGkAbQBlACAAKAA2ADoAMwAwAFAATQApAFwAbgAqAC8AXABuAFQASQBNAEUAXwBGAFIATwBNAE0ASQBMACAAPQAgAEwAQQBNAEIARABBACgAaQBuAHAAdQB0ACwAXABuACAAIAAgACAATABFAFQAKABcAG4AIAAgACAAIAAgACAAIAAgAGMAbwBuAHYALAAgAFQARQBYAFQAKABpAG4AcAB1AHQALAAgAFwAIgAwADAAMAAwAFwAIgApACwAXABuACAAIAAgACAAIAAgACAAIABoAF8AcABhAHIAdAAsACAATABFAEYAVAAoAGMAbwBuAHYALAAgADIAKQAsAFwAbgAgACAAIAAgACAAIAAgACAAbQBfAHAAYQByAHQALAAgAFIASQBHAEgAVAAoAGMAbwBuAHYALAAgADIAKQAsAFwAbgAgACAAIAAgACAAIAAgACAAcwB1AGYAZgAsACAASQBGACgAVgBBAEwAVQBFACgAaABfAHAAYQByAHQAKQAgAD4APQAgADEAMgAsACAAXAAiACAAUABNAFwAIgAsACAAXAAiACAAQQBNAFwAIgApACwAXABuACAAIAAgACAAIAAgACAAIABoAHIAcwAsACAASQBGACgAVgBBAEwAVQBFACgAaABfAHAAYQByAHQAKQAgAD4AIAAxADIALAAgAFYAQQBMAFUARQAoAGgAXwBwAGEAcgB0ACAALQAgADEAMgApACwAIABWAEEATABVAEUAKABoAF8AcABhAHIAdAApACkALABcAG4AIAAgACAAIAAgACAAIAAgAG8AdQB0AHAAdQB0ACwAIABUAEUAWABUACgAQwBPAE4AQwBBAFQARQBOAEEAVABFACgAaAByAHMALAAgAFwAIgA6AFwAIgAsACAAbQBfAHAAYQByAHQALAAgAHMAdQBmAGYAKQAsACAAXAAiAEgASAA6AE0ATQAgAEEATQAvAFAATQBcACIAKQAsAFwAbgAgACAAIAAgACAAIAAgACAAbwB1AHQAcAB1AHQAXABuACAAIAAgACAAKQBcAG4AKQA7AFwAbgBcAG4ALwAqACAAVABJAE0ARQBfAFQATwBEAEUAQwBcAG4AIAAgACAAIABDAG8AbgB2AGUAcgB0AHMAIABIAEgAOgBNAE0AKABBAE0ALwBQAE0AKQAgAHQAbwAgAEgASAAuAEgASABcAG4AKgAvAFwAbgBUAEkATQBFAF8AVABPAEQARQBDACAAPQAgAEwAQQBNAEIARABBACgAaQBuAHAAdQB0ACwAXABuACAAIAAgACAATABFAFQAKABcAG4AIAAgACAAIAAgACAAIAAgAHMAdQBmAGYALAAgAFUAUABQAEUAUgAoAFIASQBHAEgAVAAoAGkAbgBwAHUAdAAsACAAMgApACkALABcAG4AIAAgACAAIAAgACAAIAAgAGgAXwBwAGEAcgB0ACwAIABJAEYARQBSAFIATwBSACgAVgBBAEwAVQBFACgAVABFAFgAVABCAEUARgBPAFIARQAoAGkAbgBwAHUAdAAsACAAXAAiADoAXAAiACkAKQAsACAAMAApACwAXABuACAAIAAgACAAIAAgACAAIABtAF8AcABhAHIAdAAsACAASQBGAEUAUgBSAE8AUgAoAFYAQQBMAFUARQAoAEwARQBGAFQAKABUAEUAWABUAEEARgBUAEUAUgAoAGkAbgBwAHUAdAAsACAAXAAiADoAXAAiACkALAAgADIAKQApACwAIAAwACkALABcAG4AIAAgACAAIAAgACAAIAAgAGgAcgBzACwAIABJAEYAKABBAE4ARAAoAHMAdQBmAGYAIAA9ACAAXAAiAFAATQBcACIALAAgAGgAXwBwAGEAcgB0ACAAPAAgADEAMgApACwAIABoAF8AcABhAHIAdAAgACsAIAAxADIALAAgAGgAXwBwAGEAcgB0ACkALABcAG4AIAAgACAAIAAgACAAIAAgAG0AbgBzACwAIABtAF8AcABhAHIAdAAgAC8AIAA2ADAALABcAG4AIAAgACAAIAAgACAAIAAgAG8AdQB0AHAAdQB0ACwAIABoAHIAcwAgACsAIABtAG4AcwAsAFwAbgAgACAAIAAgACAAIAAgACAAbwB1AHQAcAB1AHQAXABuACAAIAAgACAAKQBcAG4AKQA7AFwAbgBcAG4ALwAqACAAVABJAE0ARQBfAFQATwBNAEkATABcAG4AIAAgACAAIABDAG8AbgB2AGUAcgB0AHMAIABIAEgAOgBNAE0AKABBAE0ALwBQAE0AKQAgAHQAbwAgAEgASAAuAEgASABcAG4AKgAvAFwAbgBUAEkATQBFAF8AVABPAE0ASQBMACAAPQAgAEwAQQBNAEIARABBACgAaQBuAHAAdQB0ACwAXABuACAAIAAgACAATABFAFQAKABcAG4AIAAgACAAIAAgACAAIAAgAGMAbwBuAHYAZQByAHQAZQBkACwAIABUAEUAWABUACgAaQBuAHAAdQB0ACwAIABcACIASABIADoATQBNACAAQQBNAC8AUABNAFwAIgApACwAXABuACAAIAAgACAAIAAgACAAIABzAHUAZgBmACwAIABSAEkARwBIAFQAKABjAG8AbgB2AGUAcgB0AGUAZAAsACAAMgApACwAXABuACAAIAAgACAAIAAgACAAIABoAF8AcABhAHIAdAAsACAASQBGAEUAUgBSAE8AUgAoAFYAQQBMAFUARQAoAFQARQBYAFQAQgBFAEYATwBSAEUAKABjAG8AbgB2AGUAcgB0AGUAZAAsACAAXAAiADoAXAAiACkAKQAsACAAMAApACwAXABuACAAIAAgACAAIAAgACAAIABtAF8AcABhAHIAdAAsACAASQBGAEUAUgBSAE8AUgAoAFYAQQBMAFUARQAoAEwARQBGAFQAKABUAEUAWABUAEEARgBUAEUAUgAoAGMAbwBuAHYAZQByAHQAZQBkACwAIABcACIAOgBcACIAKQAsACAAMgApACkALAAgADAAKQAsAFwAbgAgACAAIAAgACAAIAAgACAAaAByAHMALAAgAEkARgAoAEEATgBEACgAcwB1AGYAZgAgAD0AIABcACIAUABNAFwAIgAsACAAaABfAHAAYQByAHQAIAA8ACAAMQAyACkALAAgAGgAXwBwAGEAcgB0ACAAKwAgADEAMgAsACAAaABfAHAAYQByAHQAKQAsAFwAbgAgACAAIAAgACAAIAAgACAAbQBuAHMALAAgAG0AXwBwAGEAcgB0ACwAXABuACAAIAAgACAAIAAgACAAIABvAHUAdABwAHUAdAAsACAAVABFAFgAVAAoACgAaAByAHMAIAAqACAAMQAwADAAKQAgACsAIABtAG4AcwAsACAAXAAiADAAIwAjACMAXAAiACkALABcAG4AIAAgACAAIAAgACAAIAAgAG8AdQB0AHAAdQB0AFwAbgAgACAAIAAgACkAXABuACkAOwBcAG4AXABuAC8AKgAgAFQASQBNAEUAXwBEAEkARgBGAFwAbgBcAG4AYQBkAGQAcwAgAGEAbgBkACAAcwB1AGIAdAByAGEAYwB0AHMAIAAxADIALQBoAG8AdQByACAAdABpAG0AZQAgAHYAYQBsAHUAZQBzAFwAbgAqAC8AXABuAFQASQBNAEUAXwBEAEkARgBGACAAPQAgAEwAQQBNAEIARABBACgAaQBuAHAAdQB0ACwAIABbAHMAZQBjAG8AbgBkAF0ALABcAG4AIAAgACAAIABMAEUAVAAoAFwAbgAgACAAIAAgACAAIAAgACAAbABlAGYAdAAsACAASQBGACgAcwBlAGMAbwBuAGQAIAA9ACAAMAAsACAAQwBIAE8ATwBTAEUAQwBPAEwAUwAoAGkAbgBwAHUAdAAsACAAMQApACwAIABpAG4AcAB1AHQAKQAsAFwAbgAgACAAIAAgACAAIAAgACAAcgBpAGcAaAB0ACwAIABJAEYAKABzAGUAYwBvAG4AZAAgAD0AIAAwACwAIABDAEgATwBPAFMARQBDAE8ATABTACgAaQBuAHAAdQB0ACwAIAAyACkALAAgAHMAZQBjAG8AbgBkACkALABcAG4AIAAgACAAIAAgACAAIAAgAHMAdQBmAGYAXwBsACwAIABVAFAAUABFAFIAKABSAEkARwBIAFQAKABsAGUAZgB0ACwAIAAyACkAKQAsAFwAbgAgACAAIAAgACAAIAAgACAAaABfAHAAYQByAHQAXwBsACwAIABJAEYARQBSAFIATwBSACgAVgBBAEwAVQBFACgAVABFAFgAVABCAEUARgBPAFIARQAoAGwAZQBmAHQALAAgAFwAIgA6AFwAIgApACkALAAgADAAKQAsAFwAbgAgACAAIAAgACAAIAAgACAAbQBfAHAAYQByAHQAXwBsACwAIABJAEYARQBSAFIATwBSACgAVgBBAEwAVQBFACgATABFAEYAVAAoAFQARQBYAFQAQQBGAFQARQBSACgAbABlAGYAdAAsACAAXAAiADoAXAAiACkALAAgADIAKQApACwAIAAwACkALABcAG4AIAAgACAAIAAgACAAIAAgAGgAcgBzAF8AbAAsACAASQBGACgAQQBOAEQAKABzAHUAZgBmAF8AbAAgAD0AIABcACIAUABNAFwAIgAsACAAaABfAHAAYQByAHQAXwBsACAAPAAgADEAMgApACwAIABoAF8AcABhAHIAdABfAGwAIAArACAAMQAyACwAIABoAF8AcABhAHIAdABfAGwAKQAsAFwAbgAgACAAIAAgACAAIAAgACAAbQBuAHMAXwBsACwAIABtAF8AcABhAHIAdABfAGwAIAAvACAANgAwACwAXABuACAAIAAgACAAIAAgACAAIAB0AGkAbQBlAF8AbAAsACAAaAByAHMAXwBsACAAKwAgAG0AbgBzAF8AbAAsAFwAbgAgACAAIAAgACAAIAAgACAAcwB1AGYAZgBfAHIALAAgAFUAUABQAEUAUgAoAFIASQBHAEgAVAAoAHIAaQBnAGgAdAAsACAAMgApACkALABcAG4AIAAgACAAIAAgACAAIAAgAGgAXwBwAGEAcgB0AF8AcgAsACAASQBGAEUAUgBSAE8AUgAoAFYAQQBMAFUARQAoAFQARQBYAFQAQgBFAEYATwBSAEUAKAByAGkAZwBoAHQALAAgAFwAIgA6AFwAIgApACkALAAgADAAKQAsAFwAbgAgACAAIAAgACAAIAAgACAAbQBfAHAAYQByAHQAXwByACwAIABJAEYARQBSAFIATwBSACgAVgBBAEwAVQBFACgATABFAEYAVAAoAFQARQBYAFQAQQBGAFQARQBSACgAcgBpAGcAaAB0ACwAIABcACIAOgBcACIAKQAsACAAMgApACkALAAgADAAKQAsAFwAbgAgACAAIAAgACAAIAAgACAAaAByAHMAXwByACwAIABJAEYAKABBAE4ARAAoAHMAdQBmAGYAXwByACAAPQAgAFwAIgBQAE0AXAAiACwAIABoAF8AcABhAHIAdABfAHIAIAA8ACAAMQAyACkALAAgAGgAXwBwAGEAcgB0AF8AcgAgACsAIAAxADIALAAgAGgAXwBwAGEAcgB0AF8AcgApACwAXABuACAAIAAgACAAIAAgACAAIABtAG4AcwBfAHIALAAgAG0AXwBwAGEAcgB0AF8AcgAgAC8AIAA2ADAALABcAG4AIAAgACAAIAAgACAAIAAgAHQAaQBtAGUAXwByACwAIABoAHIAcwBfAHIAIAArACAAbQBuAHMAXwByACwAXABuACAAIAAgACAAIAAgACAAIABvAHUAdABwAHUAdAAsACAASQBGAEUAUgBSAE8AUgAoAEEAQgBTACgAdABpAG0AZQBfAGwAIAAtACAAdABpAG0AZQBfAHIAKQAsACAAXAAiAFwAIgApACwAXABuACAAIAAgACAAIAAgACAAIABvAHUAdABwAHUAdABcAG4AIAAgACAAIAApAFwAbgApADsAXABuAFwAbgAvACoAIABTAFQAQQBUAEkAUwBUAEkAQwBBAEwAIABGAFUATgBDAFQASQBPAE4AUwAgACoALwBcAG4AUwBUAEEAVABTAF8ATQBJAE4ATQBBAFgAIAA9ACAATABBAE0AQgBEAEEAKABhAHIAcgBhAHkALAAgAFsAcAByAGUAYwBdACwAXABuACAAIAAgACAATABFAFQAKABcAG4AIAAgACAAIAAgACAAIAAgAHAAcgBlAGMALAAgAEkARgAoAEkAUwBPAE0ASQBUAFQARQBEACgAcAByAGUAYwApACwAIAAzACwAIABwAHIAZQBjACkALABcAG4AIAAgACAAIAAgACAAIAAgAG0AaQBuACwAIABNAEkATgAoAGEAcgByAGEAeQApACwAXABuACAAIAAgACAAIAAgACAAIABtAGEAeAAsACAATQBBAFgAKABhAHIAcgBhAHkAKQAsAFwAbgAgACAAIAAgACAAIAAgACAALwAvAHMAaQB6AGUALAAgAHQAcgB1AG4AYwAoAGEAYgBzACgAbABvAGcAKABhAGIAcwAoAG0AYQB4ACkAKQApACkALABcAG4AIAAgACAAIAAgACAAIAAgAC8ALwBwAHIAZQBjACwAIABzAGkAegBlACsAMQAsAFwAbgAgACAAIAAgACAAIAAgACAAbQBpAG4AXwBvAHUAdAAsACAAUgBPAFUATgBEACgATQBJAE4AKABhAHIAcgBhAHkAKQAsACAAcAByAGUAYwApACwAXABuACAAIAAgACAAIAAgACAAIABtAGEAeABfAG8AdQB0ACwAIABSAE8AVQBOAEQAKABNAEEAWAAoAGEAcgByAGEAeQApACwAIABwAHIAZQBjACkALABcAG4AIAAgACAAIAAgACAAIAAgAGwAaQBzAHQALAAgAFQARQBYAFQASgBPAEkATgAoAFwAIgB8AFwAIgAsACAALAAgAG0AaQBuAF8AbwB1AHQALAAgAG0AYQB4AF8AbwB1AHQAKQAsAFwAbgAgACAAIAAgACAAIAAgACAAVABPAEMATwBMACgAVgBBAEwAVQBFACgAVABFAFgAVABTAFAATABJAFQAKABsAGkAcwB0ACwAIABcACIAfABcACIAKQApACkAXABuACAAIAAgACAAIAAgACAAIAAvAC8AcAByAGUAYwBcAG4AIAAgACAAIAAgACAAIAAgAFwAbgAgACAAIAAgACkAXABuACkAOwBcAG4AXABuAC8AKgAgAFMAVABBAFQAUwBfAFMAUABBAE4AOgBcAG4AXABuAFIAZQB0AHUAcgBuAHMAIABtAGEAeAAoAHIAYQBuAGcAZQApACAALQAgAG0AaQBuACgAcgBhAG4AZwBlACkAXABuACoALwBcAG4AUwBUAEEAVABTAF8AUwBQAEEATgAgAD0AIABMAEEATQBCAEQAQQAoAGEAcgByAGEAeQAsACAATABFAFQAKABvAHUAdABwAHUAdAAsACAATQBBAFgAKABhAHIAcgBhAHkAKQAgAC0AIABNAEkATgAoAGEAcgByAGEAeQApACwAIABvAHUAdABwAHUAdAApACkAOwBcAG4AXABuAC8AKgAgAFMAVABBAFQAUwBfAEwASQBTAFQAOgBcAG4AXABuAFIAZQB0AHUAcgBuAHMAIABhACAAcwBwAGkAbABsAGUAZAAgAGwAaQBzAHQAIABvAGYAOgBcAG4AIAAgACAAIABcAG4AIAAgACAAIABNAGkAbgBpAG0AdQBtACAAbwBmACAAcgBhAG4AZwBlAFwAbgAgACAAIAAgAC0AMQAgAHMAaQBnAG0AYQBcAG4AIAAgACAAIABNAGUAYQBuACAAbwBmACAAcgBhAG4AZwBlAFwAbgAgACAAIAAgACsAMQAgAHMAaQBnAG0AYQBcAG4AIAAgACAAIABNAGEAeABpAG0AdQBtACAAbwBmACAAcgBhAG4AZwBlAFwAbgAgACAAIAAgAFMAdABhAG4AZABhAHIAZAAgAGQAZQB2AGkAYQB0AGkAbwBuAFwAbgAgACAAIAAgAFMAawBlAHcAXABuACAAIAAgACAAUwB0AGEAbgBkAGEAcgBkACAAZQByAHIAbwByAFwAbgAgACAAIAAgAEMAbwB1AG4AdAAgAG8AZgAgAHYAYQBsAHUAZQBzAFwAbgAgACAAIAAgAFMAcABhAG4AIABvAGYAIAByAGEAbgBnAGUAXABuACAAIAAgACAAVABvAHQAYQBsACAAbwBmACAAcgBhAG4AZwBlAFwAbgAqAC8AXABuAFMAVABBAFQAUwBMAEkAUwBUACAAPQAgAEwAQQBNAEIARABBACgAcgBhAG4AZwBlACwAIABbAG0AbwBkAGUAXQAsACAAWwBwAHIAZQBjAF0ALABcAG4AIAAgACAAIABMAEUAVAAoAFwAbgAgACAAIAAgACAAIAAgACAAbQBvAGQAZQAsACAASQBGACgATwBSACgASQBTAE8ATQBJAFQAVABFAEQAKABtAG8AZABlACkALAAgAG0AbwBkAGUAIAA+ACAANgApACwAIAAwACwAIABtAG8AZABlACkALABcAG4AIAAgACAAIAAgACAAIAAgAHAAcgBlAGMALAAgAEkARgAoAEkAUwBPAE0ASQBUAFQARQBEACgAcAByAGUAYwApACwAIAAzACwAIABwAHIAZQBjACkALABcAG4AIAAgACAAIAAgACAAIAAgAGwAYQBiAGUAbABfAGwAaQBzAHQALAAgAFQAUgBBAE4AUwBQAE8AUwBFACgAXABuACAAIAAgACAAIAAgACAAIAAgACAAIAAgAHsAXAAiAE0AaQBuAFwAIgAsACAAXAAiAMIDeyBcACIALAAgAFwAIgC8A1wAIgAsACAAXAAiAMIDeiBcACIALAAgAFwAIgBNAGEAeABcACIALAAgAFwAIgDDA1wAIgAsACAAXAAiAFMAawBlAHcALgBQAFwAIgAsACAAXAAiAEMAdABcACIALAAgAFwAIgBSAGEAbgBnAGUAXAAiACwAIABcACIATQBpAGQAcgBhAG4AZwBlAFwAIgAsACAAXAAiAFMAdQBtAFwAIgAsACAAXAAiAIseXAAiAH0AXABuACAAIAAgACAAIAAgACAAIAApACwAXABuACAAIAAgACAAIAAgACAAIABzAHQAYQB0AHMALAAgAFQAUgBBAE4AUwBQAE8AUwBFACgAXABuACAAIAAgACAAIAAgACAAIAAgACAAIAAgAEMASABPAE8AUwBFACgAXABuACAAIAAgACAAIAAgACAAIAAgACAAIAAgACAAIAAgACAAewAxACwAIAAyACwAIAAzACwAIAA0ACwAIAA1ACwAIAA2ACwAIAA3ACwAIAA4ACwAIAA5ACwAIAAxADAALAAgADEAMQAsACAAMQAyAH0ALABcAG4AIAAgACAAIAAgACAAIAAgACAAIAAgACAAIAAgACAAIABGAEkAWABFAEQAKABNAEkATgAoAHIAYQBuAGcAZQApACwAIABwAHIAZQBjACkALAAgAC8ALwAgAG0AaQBuAFwAbgAgACAAIAAgACAAIAAgACAAIAAgACAAIAAgACAAIAAgAEYASQBYAEUARAAoAEEAVgBFAFIAQQBHAEUAKAByAGEAbgBnAGUAKQAgAC0AIABTAFQARABFAFYALgBQACgAcgBhAG4AZwBlACkALAAgAHAAcgBlAGMAKQAsACAALwAvACAALQBzAGkAZwBtAGEAXABuACAAIAAgACAAIAAgACAAIAAgACAAIAAgACAAIAAgACAARgBJAFgARQBEACgAQQBWAEUAUgBBAEcARQAoAHIAYQBuAGcAZQApACwAIABwAHIAZQBjACkALAAgAC8ALwAgAG0AZQBhAG4AXABuACAAIAAgACAAIAAgACAAIAAgACAAIAAgACAAIAAgACAARgBJAFgARQBEACgAQQBWAEUAUgBBAEcARQAoAHIAYQBuAGcAZQApACAAKwAgAFMAVABEAEUAVgAuAFAAKAByAGEAbgBnAGUAKQAsACAAcAByAGUAYwApACwAIAAvAC8AIAArAHMAaQBnAG0AYQBcAG4AIAAgACAAIAAgACAAIAAgACAAIAAgACAAIAAgACAAIABGAEkAWABFAEQAKABNAEEAWAAoAHIAYQBuAGcAZQApACwAIABwAHIAZQBjACkALAAgAC8ALwAgAG0AYQB4AFwAbgAgACAAIAAgACAAIAAgACAAIAAgACAAIAAgACAAIAAgAEYASQBYAEUARAAoAFMAVABEAEUAVgAuAFAAKAByAGEAbgBnAGUAKQAsACAAcAByAGUAYwApACwAIAAvAC8AIABzAGkAZwBtAGEAXABuACAAIAAgACAAIAAgACAAIAAgACAAIAAgACAAIAAgACAARgBJAFgARQBEACgAUwBLAEUAVwAuAFAAKAByAGEAbgBnAGUAKQAsACAAcAByAGUAYwApACwAIAAvAC8AIABzAGsAZQB3AFwAbgAgACAAIAAgACAAIAAgACAAIAAgACAAIAAgACAAIAAgAEYASQBYAEUARAAoAEMATwBVAE4AVAAoAHIAYQBuAGcAZQApACwAIAAwACkALAAgAC8ALwAgAGMAbwB1AG4AdABcAG4AIAAgACAAIAAgACAAIAAgACAAIAAgACAAIAAgACAAIABGAEkAWABFAEQAKABNAEEAWAAoAHIAYQBuAGcAZQApACAALQAgAE0ASQBOACgAcgBhAG4AZwBlACkALAAgAHAAcgBlAGMAKQAsACAALwAvACAAcgBhAG4AZwBlAFwAbgAgACAAIAAgACAAIAAgACAAIAAgACAAIAAgACAAIAAgAEYASQBYAEUARAAoAEEAVgBFAFIAQQBHAEUAKABNAEkATgAoAHIAYQBuAGcAZQApACwAIABNAEEAWAAoAHIAYQBuAGcAZQApACkALAAgAHAAcgBlAGMAKQAsACAALwAvACAAbQBpAGQAcgBhAG4AZwBlAFwAbgAgACAAIAAgACAAIAAgACAAIAAgACAAIAAgACAAIAAgAEYASQBYAEUARAAoAFMAVQBNACgAcgBhAG4AZwBlACkALAAgAHAAcgBlAGMAKQAsACAALwAvACAAcwB1AG0AXABuACAAIAAgACAAIAAgACAAIAAgACAAIAAgACAAIAAgACAARgBJAFgARQBEACgATQBFAEQASQBBAE4AKAByAGEAbgBnAGUAKQAsACAAcAByAGUAYwApACwAIAAvAC8AIABtAGUAZABpAGEAbgBcAG4AIAAgACAAIAAgACAAIAAgACAAIAAgACAAIAAgACAAIABcAG4AIAAgACAAIAAgACAAIAAgACAAIAAgACAAKQBcAG4AIAAgACAAIAAgACAAIAAgACkALABcAG4AIAAgACAAIAAgACAAIAAgAG8AdQB0AHAAdQB0ACwAIABDAEgATwBPAFMARQAoAHsAMQAsACAAMgB9ACwAIABsAGEAYgBlAGwAXwBsAGkAcwB0ACwAIABWAEEATABVAEUAKABzAHQAYQB0AHMAKQApACwAXABuACAAIAAgACAAIAAgACAAIAByAGUAdAB1AHIAbgAsACAAUwBXAEkAVABDAEgAKABcAG4AIAAgACAAIAAgACAAIAAgACAAIAAgACAAbQBvAGQAZQAsAFwAbgAgACAAIAAgACAAIAAgACAAIAAgACAAIAAwACwAIABvAHUAdABwAHUAdAAsAFwAbgAgACAAIAAgACAAIAAgACAAIAAgACAAIAAxACwAIABDAEgATwBPAFMARQBSAE8AVwBTACgAbwB1AHQAcAB1AHQALAAgADEALAAgADUAKQAsAFwAbgAgACAAIAAgACAAIAAgACAAIAAgACAAIAAyACwAIABDAEgATwBPAFMARQBSAE8AVwBTACgAbwB1AHQAcAB1AHQALAAgADEALAAgADMALAAgADUAKQAsAFwAbgAgACAAIAAgACAAIAAgACAAIAAgACAAIAAzACwAIABDAEgATwBPAFMARQBSAE8AVwBTACgAbwB1AHQAcAB1AHQALAAgADEALAAgADIALAAgADMALAAgADQALAAgADUAKQAsAFwAbgAgACAAIAAgACAAIAAgACAAIAAgACAAIAA0ACwAIABDAEgATwBPAFMARQBSAE8AVwBTACgAbwB1AHQAcAB1AHQALAAgADEALAAgADIALAAgADMALAAgADQALAAgADUALAAgADEAMQApACwAXABuACAAIAAgACAAIAAgACAAIAAgACAAIAAgADUALAAgAEMASABPAE8AUwBFAFIATwBXAFMAKABvAHUAdABwAHUAdAAsACAAMQAsACAAMgAsACAAMwAsACAANAAsACAANQAsACAANgApACwAXABuACAAIAAgACAAIAAgACAAIAAgACAAIAAgADYALAAgAEMASABPAE8AUwBFAFIATwBXAFMAKABvAHUAdABwAHUAdAAsACAAMQAsACAAMgAsACAAMwAsACAANAAsACAANQAsACAANgAsACAAMQAxACkAXABuACAAIAAgACAAIAAgACAAIAApACwAXABuACAAIAAgACAAIAAgACAAIAByAGUAdAB1AHIAbgBcAG4AIAAgACAAIAApAFwAbgApADsAXABuAFwAbgBRAFUAQQBOAFQASQBMAEUAUwAgAD0AIABMAEEATQBCAEQAQQAoAHIAYQBuAGcAZQAsACAAWwBkAGkAdgBpAHMAaQBvAG4AcwBdACwAIABbAG0AbwBkAGUAXQAsACAAWwBwAHIAZQBjAGkAcwBpAG8AbgBdACwAXABuACAAIAAgACAATABFAFQAKABcAG4AIAAgACAAIAAgACAAIAAgAG0AbwBkAGUALAAgAEkARgAoAE8AUgAoAEkAUwBPAE0ASQBUAFQARQBEACgAbQBvAGQAZQApACwAIABtAG8AZABlACAAPgAgADEAKQAsACAAMAAsACAAbQBvAGQAZQApACwAXABuACAAIAAgACAAIAAgACAAIABkAGkAdgBpAHMAaQBvAG4AcwAsACAASQBGACgASQBTAE8ATQBJAFQAVABFAEQAKABkAGkAdgBpAHMAaQBvAG4AcwApACwAIAAxADAALAAgAGQAaQB2AGkAcwBpAG8AbgBzACkALABcAG4AIAAgACAAIAAgACAAIAAgAHAAcgBlAGMAaQBzAGkAbwBuACwAIABJAEYAKABJAFMATwBNAEkAVABUAEUARAAoAHAAcgBlAGMAaQBzAGkAbwBuACkALAAgADMALAAgAHAAcgBlAGMAaQBzAGkAbwBuACkALABcAG4AIAAgACAAIAAgACAAIAAgAHAAYwB0AGkAbABlAHMALAAgAFMARQBRAFUARQBOAEMARQAoAGQAaQB2AGkAcwBpAG8AbgBzACAAKwAgADEALAAgADEALAAgADAAKQAgACoAIAAxACAALwAgAGQAaQB2AGkAcwBpAG8AbgBzACwAXABuACAAIAAgACAAIAAgACAAIABwAGMAdABfAGwAYQBiAGUAbABzACwAIABUAEUAWABUACgAcABjAHQAaQBsAGUAcwAsACAAXAAiADAAJQBcACIAKQAsAFwAbgAgACAAIAAgACAAIAAgACAAcABjAHQAXwB2AGEAbABzACwAIABQAEUAUgBDAEUATgBUAEkATABFAC4ASQBOAEMAKAByAGEAbgBnAGUALAAgAHAAYwB0AGkAbABlAHMAKQAsAFwAbgAgACAAIAAgACAAIAAgACAAbABpAHMAdAAsACAAVABFAFgAVABKAE8ASQBOACgAXAAiACAAXAAiACwAIABUAFIAVQBFACwAIABwAGMAdABfAHYAYQBsAHMAKQAsAFwAbgAgACAAIAAgACAAIAAgACAAbwB1AHQAcAB1AHQAcwAsACAAVABPAEMATwBMACgAUgBPAFUATgBEACgAVgBBAEwAVQBFACgAVABFAFgAVABTAFAATABJAFQAKABsAGkAcwB0ACwAIABcACIAIABcACIAKQApACwAIABwAHIAZQBjAGkAcwBpAG8AbgApACkALABcAG4AIAAgACAAIAAgACAAIAAgAFMAVwBJAFQAQwBIACgAbQBvAGQAZQAsACAAMAAsACAAbwB1AHQAcAB1AHQAcwAsACAAMQAsACAAQwBIAE8ATwBTAEUAKAB7ADEALAAgADIAfQAsACAAcABjAHQAXwBsAGEAYgBlAGwAcwAsACAAVgBBAEwAVQBFACgAbwB1AHQAcAB1AHQAcwApACkAKQBcAG4AIAAgACAAIAApAFwAbgApADsAXABuAFwAbgBTAFQAQQBUAFMAXwBUAEkATABFAFMAIAA9ACAATABBAE0AQgBEAEEAKAByAGEAbgBnAGUALAAgAFsAZABpAHYAaQBzAGkAbwBuAHMAXQAsACAAWwBtAG8AZABlAF0ALAAgAFsAcwB0AHkAbABlAF0ALAAgAFsAcAByAGUAYwBpAHMAaQBvAG4AXQAsAFwAbgAgACAAIAAgAEwARQBUACgAXABuACAAIAAgACAAIAAgACAAIABtAG8AZABlACwAIABJAEYAKABPAFIAKABJAFMATwBNAEkAVABUAEUARAAoAG0AbwBkAGUAKQAsACAAbQBvAGQAZQAgAD4AIAAyACkALAAgADAALAAgAG0AbwBkAGUAKQAsAFwAbgAgACAAIAAgACAAIAAgACAAZABpAHYAaQBzAGkAbwBuAHMALAAgAEkARgAoAEkAUwBPAE0ASQBUAFQARQBEACgAZABpAHYAaQBzAGkAbwBuAHMAKQAsACAAMQAwACwAIABkAGkAdgBpAHMAaQBvAG4AcwApACwAXABuACAAIAAgACAAIAAgACAAIABwAHIAZQBjAGkAcwBpAG8AbgAsACAASQBGACgASQBTAE8ATQBJAFQAVABFAEQAKABwAHIAZQBjAGkAcwBpAG8AbgApACwAIAAzACwAIABwAHIAZQBjAGkAcwBpAG8AbgApACwAXABuACAAIAAgACAAIAAgACAAIABzAHQAeQBsAGUALAAgAEkARgAoAE8AUgAoAEkAUwBPAE0ASQBUAFQARQBEACgAcwB0AHkAbABlACkALAAgAHMAdAB5AGwAZQAgAD4AIAAyACkALAAgADAALAAgAHMAdAB5AGwAZQApACwAXABuACAAIAAgACAAIAAgACAAIABwAGMAdABpAGwAZQBzACwAIABTAFcASQBUAEMASAAoAFwAbgAgACAAIAAgACAAIAAgACAAIAAgACAAIABzAHQAeQBsAGUALABcAG4AIAAgACAAIAAgACAAIAAgACAAIAAgACAAMAAsACAAUwBFAFEAVQBFAE4AQwBFACgAZABpAHYAaQBzAGkAbwBuAHMAIAAtACAAMQAsACAAMQAsACAAMQApACAAKgAgADEAIAAvACAAZABpAHYAaQBzAGkAbwBuAHMALABcAG4AIAAgACAAIAAgACAAIAAgACAAIAAgACAAMQAsACAAUwBFAFEAVQBFAE4AQwBFACgAZABpAHYAaQBzAGkAbwBuAHMALAAgADEALAAgADAAKQAgACoAIAAxACAALwAgAGQAaQB2AGkAcwBpAG8AbgBzACwAXABuACAAIAAgACAAIAAgACAAIAAgACAAIAAgADIALAAgAFMARQBRAFUARQBOAEMARQAoAGQAaQB2AGkAcwBpAG8AbgBzACAAKwAgADEALAAgADEALAAgADAAKQAgACoAIAAxACAALwAgAGQAaQB2AGkAcwBpAG8AbgBzACwAXABuACAAIAAgACAAIAAgACAAIAAgACAAIAAgAFwAbgAgACAAIAAgACAAIAAgACAAKQAsAFwAbgAgACAAIAAgACAAIAAgACAAZgBtAHQALAAgAFwAIgAwAC4AMAAwACUAXAAiACwAXABuACAAIAAgACAAIAAgACAAIABwAGMAdABfAGwAYQBiAGUAbABzACwAIABUAEUAWABUACgAcABjAHQAaQBsAGUAcwAsACAAZgBtAHQAKQAsAFwAbgAgACAAIAAgACAAIAAgACAAcABjAHQAXwB2AGEAbABzACwAIABSAE8AVQBOAEQAKABQAEUAUgBDAEUATgBUAEkATABFAC4ASQBOAEMAKAByAGEAbgBnAGUALAAgAHAAYwB0AGkAbABlAHMAKQAsACAAcAByAGUAYwBpAHMAaQBvAG4AKQAsAFwAbgAgACAAIAAgACAAIAAgACAAYwBvAHUAbgB0AHMALAAgAEIAWQBSAE8AVwAoAHAAYwB0AF8AdgBhAGwAcwAsACAATABBAE0AQgBEAEEAKAB4ACwAIABDAE8AVQBOAFQASQBGACgAcgBhAG4AZwBlACwAIABcACIAPAA9AFwAIgAgACYAIAB4ACkAKQApACwAXABuACAAIAAgACAAIAAgACAAIABTAFcASQBUAEMASAAoAFwAbgAgACAAIAAgACAAIAAgACAAIAAgACAAIABtAG8AZABlACwAXABuACAAIAAgACAAIAAgACAAIAAgACAAIAAgADAALAAgAHAAYwB0AF8AdgBhAGwAcwAsAFwAbgAgACAAIAAgACAAIAAgACAAIAAgACAAIAAxACwAIABDAEgATwBPAFMARQAoAHsAMQAsACAAMgB9ACwAIABwAGMAdABfAGwAYQBiAGUAbABzACwAIABWAEEATABVAEUAKABwAGMAdABfAHYAYQBsAHMAKQApACwAXABuACAAIAAgACAAIAAgACAAIAAgACAAIAAgADIALAAgAEMASABPAE8AUwBFACgAewAxACwAIAAyACwAIAAzAH0ALAAgAHAAYwB0AF8AbABhAGIAZQBsAHMALAAgAFYAQQBMAFUARQAoAHAAYwB0AF8AdgBhAGwAcwApACwAIABWAEEATABVAEUAKABjAG8AdQBuAHQAcwApACkAXABuACAAIAAgACAAIAAgACAAIAApAFwAbgAgACAAIAAgACkAXABuACkAOwBcAG4AXABuAFQARQBTAFQAIAA9ACAATABBAE0AQgBEAEEAKABpAG4AcAB1AHQALAAgAFsAcwBlAGMAbwBuAGQAXQAsAFwAbgAgACAAIAAgAEwARQBUACgAXABuACAAIAAgACAAIAAgACAAIABmAGkAcgBzAHQALAAgAEkARgAoAFIATwBXAFMAKABpAG4AcAB1AHQAKQAgAD4AIAAxACwAIABJAE4ARABFAFgAKABpAG4AcAB1AHQALAAgADEAKQAsACAAaQBuAHAAdQB0ACkALABcAG4AIAAgACAAIAAgACAAIAAgAHMAZQBjAG8AbgBkACwAIABJAEYAKABJAFMATwBNAEkAVABUAEUARAAoAHMAZQBjAG8AbgBkACkALAAgADAALAAgAHMAZQBjAG8AbgBkACkALABcAG4AIAAgACAAIAAgACAAIAAgAHIAZQBzAHUAbAB0ACwAIABJAEYAKABcAG4AIAAgACAAIAAgACAAIAAgACAAIAAgACAAcwBlAGMAbwBuAGQAIAA9ACAAMAAsAFwAbgAgACAAIAAgACAAIAAgACAAIAAgACAAIAAoAEkATgBEAEUAWAAoAGkAbgBwAHUAdAAsACAAMQApACAALQAgAEkATgBEAEUAWAAoAGkAbgBwAHUAdAAsACAAMgApACkAIAAvACAAQQBWAEUAUgBBAEcARQAoAGkAbgBwAHUAdAApACwAXABuACAAIAAgACAAIAAgACAAIAAgACAAIAAgACgAZgBpAHIAcwB0ACAALQAgAHMAZQBjAG8AbgBkACkAIAAvACAAKABBAFYARQBSAEEARwBFACgAZgBpAHIAcwB0ACwAIABzAGUAYwBvAG4AZAApACkAXABuACAAIAAgACAAIAAgACAAIAApACwAXABuACAAIAAgACAAIAAgACAAIAByAGUAcwB1AGwAdABcAG4AIAAgACAAIAApAFwAbgApADsAXABuAFwAbgAvACoAIABTAFQAQQBUAFMAXwBQAEMAVABfAEQASQBGADoAXABuAFwAbgBDAGEAbABjAHUAbABhAHQAZQBzACAAdABoAGUAIABwAGUAcgBjAGUAbgB0AGEAZwBlACAAZABpAGYAZgBlAHIAZQBuAGMAZQAgAGIAZQB0AHcAZQBlAG4AIAB0AHcAbwAgAHYAYQBsAHUAZQBzAFwAbgAqAC8AXABuAFMAVABBAFQAUwBfAFAAQwBUAF8ARABJAEYAIAA9ACAATABBAE0AQgBEAEEAKAB2AGEAbABfADAAMQAsACAAdgBhAGwAXwAwADI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QAaQBmAGYALAAgAEEAQgBTACgAdgBhAGwAXwAwADIAIAAtACAAdgBhAGwAXwAwADEAKQAsAFwAbgAgACAAIAAgACAAIAAgACAAYQB2AGcALAAgAEEAQgBTACgAQQBWAEUAUgBBAEcARQAoAHYAYQBsAF8AMAAxACwAIAB2AGEAbABfADAAMgApACkALABcAG4AIAAgACAAIAAgACAAIAAgAGYAbQB0ACwAIABcACIAMAAuAFwAIgAgACYAIABSAEUAUABUACgAXAAiADAAXAAiACwAIABwAHIAZQBjAGkAcwBpAG8AbgApACAAJgAgAFwAIgAlAFwAIgAsAFwAbgAgACAAIAAgACAAIAAgACAAcgBlAHMAdQBsAHQALAAgAFMAVwBJAFQAQwBIACgAbQBvAGQAZQAsACAAMAAsACAAUgBPAFUATgBEACgAZABpAGYAZgAgAC8AIABhAHYAZwAsACAAcAByAGUAYwBpAHMAaQBvAG4AKQAsACAAMQAsACAAVABFAFgAVAAoAGQAaQBmAGYAIAAvACAAYQB2AGcALAAgAGYAbQB0ACkAKQAsAFwAbgAgACAAIAAgACAAIAAgACAAcgBlAHMAdQBsAHQAXABuACAAIAAgACAAKQBcAG4AKQA7AFwAbgBcAG4ALwAqACAAUwBUAEEAVABTAF8AUABDAFQAXwBFAFIAUgA6AFwAbgBcAG4AQwBhAGwAYwB1AGwAYQB0AGUAcwAgAHQAaABlACAAcABlAHIAYwBlAG4AdAAgAGIAZQB0AHcAZQBlAG4AIABhAG4AIABhAGMAdAB1AGEAbAAgAHYAYQBsAHUAZQAgAGEAbgBkACAAYQBuACAAZQB4AHAAZQBjAHQAZQBkACAAdgBhAGwAdQBlAFwAbgBtAG8AZABlACAAMAAgAHIAZQB0AHUAcgBuAHMAIABSAEUATABBAFQASQBWAEUAIABFAFIAUgBPAFIAXABuAG0AbwBkAGUAIAAxACAAcgBlAHQAdQByAG4AcwAgAFAARQBSAEMARQBOAFQAQQBHAEUAIABFAFIAUgBPAFIAXABuACoALwBcAG4AUwBUAEEAVABTAF8AUABDAFQAXwBFAFIAUgAgAD0AIABMAEEATQBCAEQAQQAoAGUAeABwAGUAYwB0AGUAZAAsACAAYQBjAHQAdQBhAGwALAAgAFsAbQBvAGQAZQBdACwAIABbAHAAcgBlAGMAaQBzAGkAbwBuAF0ALABcAG4AIAAgACAAIABMAEUAVAAo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cAByAGUAYwBpAHMAaQBvAG4ALAAgAEkARgAoAEkAUwBPAE0ASQBUAFQARQBEACgAcAByAGUAYwBpAHMAaQBvAG4AKQAsACAAMwAsACAAcAByAGUAYwBpAHMAaQBvAG4AKQAsAFwAbgAgACAAIAAgACAAIAAgACAAZABpAGYAZgAsACAAQQBCAFMAKABhAGMAdAB1AGEAbAAgAC0AIABlAHgAcABlAGMAdABlAGQAKQAsAFwAbgAgACAAIAAgACAAIAAgACAAcgBlAHMAdQBsAHQALAAgAFMAVwBJAFQAQwBIACgAXABuACAAIAAgACAAIAAgACAAIAAgACAAIAAgAG0AbwBkAGUALABcAG4AIAAgACAAIAAgACAAIAAgACAAIAAgACAAMAAsACAAUgBPAFUATgBEACgAZABpAGYAZgAgAC8AIABBAEIAUwAoAGEAYwB0AHUAYQBsACkALAAgAHAAcgBlAGMAaQBzAGkAbwBuACkALABcAG4AIAAgACAAIAAgACAAIAAgACAAIAAgACAAMQAsACAAVABFAFgAVAAoAGQAaQBmAGYAIAAvACAAQQBCAFMAKABhAGMAdAB1AGEAbAApACwAIABmAG0AdAApACwAXABuACAAIAAgACAAIAAgACAAIAAgACAAIAAgAFwAbgAgACAAIAAgACAAIAAgACAAKQAsAFwAbgAgACAAIAAgACAAIAAgACAAcgBlAHMAdQBsAHQAXABuACAAIAAgACAAKQBcAG4AKQA7AFwAbgBcAG4ALwAqACAAUwBUAEEAVABTAF8AUABDAFQAXwBDAEgARwA6AFwAbgBcAG4AQwBhAGwAYwB1AGwAYQB0AGUAcwAgAHQAaABlACAAcABlAHIAYwBlAG4AdABhAGcAZQAgAGMAaABhAG4AZwBlACAAYgBlAHQAdwBlAGUAbgAgAGEAIABwAHIAZQB2AGkAbwB1AHMAIAB2AGEAbAB1AGUAIABhAG4AZAAgAGEAIABjAHUAcgByAGUAbgB0ACAAdgBhAGwAdQBlAFwAbgAqAC8AXABuAFMAVABBAFQAUwBfAFAAQwBUAF8AQwBIAEcAIAA9ACAATABBAE0AQgBEAEEAKABvAGwAZAAsACAAbgBlAHcALAAgAFsAbQBvAGQAZQBdACwAIABbAHAAcgBlAGMAaQBzAGkAbwBuAF0ALABcAG4AIAAgACAAIABMAEUAVAAoAFwAbgAgACAAIAAgACAAIAAgACAAcAByAGUAYwBpAHMAaQBvAG4ALAAgAEkARgAoAEkAUwBPAE0ASQBUAFQARQBEACgAcAByAGUAYwBpAHMAaQBvAG4AKQAsACAAMwAsACAAcAByAGUAYwBpAHMAaQBvAG4AKQAsAFwAbgAgACAAIAAgACAAIAAgACAAbQBvAGQAZQAsACAASQBGACgATwBSACgASQBTAE8ATQBJAFQAVABFAEQAKABtAG8AZABlACkALAAgAG0AbwBkAGUAIAA+ACAAMQApACwAIAAwACwAIABtAG8AZABlACkALABcAG4AIAAgACAAIAAgACAAIAAgAGYAbQB0ACwAIABcACIAMAAuAFwAIgAgACYAIABSAEUAUABUACgAXAAiADAAXAAiACwAIABwAHIAZQBjAGkAcwBpAG8AbgApACAAJgAgAFwAIgAlAFwAIgAsAFwAbgAgACAAIAAgACAAIAAgACAAZABpAGYAZgAsACAAbgBlAHcAIAAtACAAbwBsAGQALABcAG4AIAAgACAAIAAgACAAIAAgAHIAZQBzAHUAbAB0ACwAIABTAFcASQBUAEMASAAoAFwAbgAgACAAIAAgACAAIAAgACAAIAAgACAAIABtAG8AZABlACwAXABuACAAIAAgACAAIAAgACAAIAAgACAAIAAgADAALAAgAFIATwBVAE4ARAAoAGQAaQBmAGYAIAAvACAAbwBsAGQALAAgAHAAcgBlAGMAaQBzAGkAbwBuACkALABcAG4AIAAgACAAIAAgACAAIAAgACAAIAAgACAAMQAsACAASQBGACgAXABuACAAIAAgACAAIAAgACAAIAAgACAAIAAgACAAIAAgACAAUgBPAFUATgBEACgAZABpAGYAZgAgAC8AIABvAGwAZAAsACAAcAByAGUAYwBpAHMAaQBvAG4AKQAgAD4AIAAwACwAXABuACAAIAAgACAAIAAgACAAIAAgACAAIAAgACAAIAAgACAAXAAiACsAXAAiACAAJgAgAFQARQBYAFQAKABkAGkAZgBmACAALwAgAG8AbABkACwAIABmAG0AdAApACwAXABuACAAIAAgACAAIAAgACAAIAAgACAAIAAgACAAIAAgACAAVABFAFgAVAAoAGQAaQBmAGYAIAAvACAAbwBsAGQALAAgAGYAbQB0ACkAXABuACAAIAAgACAAIAAgACAAIAAgACAAIAAgACkAXABuACAAIAAgACAAIAAgACAAIAApACwAXABuACAAIAAgACAAIAAgACAAIAByAGUAcwB1AGwAdABcAG4AIAAgACAAIAApAFwAbgApADsAXABuAFwAbgAvACoAIABTAFQAQQBUAFMAXwBTAFQARABFAFIAUgA6AFwAbgBcAG4AQwBhAGwAYwB1AGwAYQB0AGUAcwAgAHQAaABlACAAcwB0AGEAbgBkAGEAcgBkACAAZQByAHIAbwByACAAbwBmACAAYQAgAHMAdQBwAHAAbABpAGUAZAAgAHIAYQBuAGcAZQBcAG4AKgAvAFwAbgBTAFQAQQBUAFMAXwBTAFQARABFAFIAUgAgAD0AIABMAEEATQBCAEQAQQAoAGEAcgByAGEAeQAsACAAWwBtAG8AZABlAF0ALAAgAFsAcAByAGUAYwBpAHMAaQBvAG4AXQAsAFwAbgAgACAAIAAgAEwARQBUACgAXABuACAAIAAgACAAIAAgACAAIABwAHIAZQBjAGkAcwBpAG8AbgAsACAASQBGACgASQBTAE8ATQBJAFQAVABFAEQAKABwAHIAZQBjAGkAcwBpAG8AbgApACwAIAAzACwAIABwAHIAZQBjAGkAcwBpAG8AbgApACwAXABuACAAIAAgACAAIAAgACAAIAAvAC8AIABzAHQAeQBsAGUALAAgAGkAZgAoAE8AUgAoAGkAcwBvAG0AaQB0AHQAZQBkACgAcwB0AHkAbABlACkALABzAHQAeQBsAGUAPgAxACkALAAwACwAcwB0AHkAbABlACkALABcAG4AIAAgACAAIAAgACAAIAAgAG0AbwBkAGUALAAgAEkARgAoAE8AUgAoAEkAUwBPAE0ASQBUAFQARQBEACgAbQBvAGQAZQApACwAIABtAG8AZABlACAAPgAgADEAKQAsACAAMAAsACAAbQBvAGQAZQApACwAXABuACAAIAAgACAAIAAgACAAIAAvAC8AIABmAG0AdAAsACAAXAAiADAALgBcACIAJgByAGUAcAB0ACgAXAAiADAAXAAiACwAcAByAGUAYwBpAHMAaQBvAG4AKQAmAFwAIgAlAFwAIgAsAFwAbgAgACAAIAAgACAAIAAgACAAcwB0AGQAZQByAHIALAAgAFMAVwBJAFQAQwBIACgAXABuACAAIAAgACAAIAAgACAAIAAgACAAIAAgAG0AbwBkAGUALABcAG4AIAAgACAAIAAgACAAIAAgACAAIAAgACAAMAAsACAAUwBUAEQARQBWAC4AUAAoAGEAcgByAGEAeQApACAALwAgAFMAUQBSAFQAKABDAE8AVQBOAFQAQQAoAGEAcgByAGEAeQApACkALABcAG4AIAAgACAAIAAgACAAIAAgACAAIAAgACAAMQAsACAAUwBUAEQARQBWAC4AUwAoAGEAcgByAGEAeQApACAALwAgAFMAUQBSAFQAKABDAE8AVQBOAFQAQQAoAGEAcgByAGEAeQApACkAXABuACAAIAAgACAAIAAgACAAIAApACwAXABuACAAIAAgACAAIAAgACAAIAByAGUAcwB1AGwAdAAsACAAUgBPAFUATgBEACgAcwB0AGQAZQByAHIALAAgAHAAcgBlAGMAaQBzAGkAbwBuACkALABcAG4AIAAgACAAIAAgACAAIAAgAHIAZQBzAHUAbAB0AFwAbgAgACAAIAAgACkAXABuACkAOwBcAG4AXABuAC8AKgAgAEEAUwBUAFIATwBOAE8ATQBJAEMAQQBMACAAQwBPAE4AUwBUAEEATgBUAFMAIAAqAC8AXABuAEEAVQAuAEsATQAgAD0AIABMAEEATQBCAEQAQQAoAEEAVQAuAE0AKAApACAALwAgADEAMAAwADAAKQA7AFwAbgBcAG4AQQBVAC4ATQAgAD0AIABMAEEATQBCAEQAQQAoADEANAA5ADUAOQA3ADgANwAwADcAMAAwACkAOwBcAG4AXABuAEQAQQBZAC4ARQBQAEgALgBTACAAPQAgAEwAQQBNAEIARABBACgAOAA2ADQAMAAwACkAOwBcAG4AXABuAEQAQQBZAC4AUwBJAEQALgBTACAAPQAgAEwAQQBNAEIARABBACgAOAA2ADEANgA0AC4AMAA5ADAANQAzADAAOAAzADIAOQApADsAXABuAFwAbgBEAEEAWQAuAFMAVABMAC4AUwAgAD0AIABMAEEATQBCAEQAQQAoADgANgAxADYANAAuADAAOQA4ADkAMAAzADYAOQAxACkAOwBcAG4AXABuAE0ATwBPAE4ALgBPAFIAQgAuAEsATQAgAD0AIABMAEEATQBCAEQAQQAoADMAOAA0ADMAOQA5ACkAOwBcAG4AXABuAE0ATwBPAE4ALgBPAFIAQgAuAEEAVQAgAD0AIABMAEEATQBCAEQAQQAoAE0ATwBPAE4ALgBPAFIAQgAuAEsATQAoACkAIAAvACAAQQBVAC4ASwBNACgAKQApADsAXABuAFwAbgBNAE8ATwBOAC4ATwBSAEIALgBUACAAPQAgAEwAQQBNAEIARABBACgATQBPAE8ATgAuAE8AUgBCAC4ASwBNACgAKQAgAC8AIABFAEEAUgBUAEgALgBSAC4ASwBNACgAKQApADsAXABuAFwAbgBNAE8ATwBOAC4AUAAuAFMASQBEACAAPQAgAEwAQQBNAEIARABBACgAMgA3AC4AMwAyADEANgA2ADEAKQA7AFwAbgBcAG4ATQBPAE8ATgAuAFAALgBTAFkATgAgAD0AIABMAEEATQBCAEQAQQAoADIAOQAuADUAMwAwADUAOAA4ADIAMQApADsAXABuAFwAbgBTAFUATgAuAFIALgBLAE0AIAA9ACAATABBAE0AQgBEAEEAKAA2ADkANQA3ADAAMAApADsAXABuAFwAbgBTAFUATgAuAFIALgBBAFUAIAA9ACAATABBAE0AQgBEAEEAKABTAFUATgAuAFIALgBLAE0AKAApACAALwAgAEEAVQAuAEsATQAoACkAKQA7AFwAbgBcAG4AWQBSAC4ARwBSAEcALgBEACAAPQAgAEwAQQBNAEIARABBACgAMwA2ADUALgAyADQAMgA1ACkAOwBcAG4AXABuAFkAUgAuAEcAUgBHAC4AUwAgAD0AIABMAEEATQBCAEQAQQAoAFkAUgAuAEcAUgBHAC4ARAAoACkAIAAqACAARABBAFkALgBFAFAASAAuAFMAKAApACkAOwBcAG4AXABuAFkAUgAuAEoAVQBMAC4ARAAgAD0AIABMAEEATQBCAEQAQQAoADMANgA1AC4AMgA1ACkAOwBcAG4AXABuAFkAUgAuAEoAVQBMAC4AUwAgAD0AIABMAEEATQBCAEQAQQAoAFkAUgAuAEoAVQBMAC4ARAAoACkAIAAqACAARABBAFkALgBFAFAASAAuAFMAKAApACkAOwBcAG4AXABuAFkAUgAuAFMASQBEAC4ARAAgAD0AIABMAEEATQBCAEQAQQAoADMANgA1AC4AMgA1ADYAMwA2ADMAMAAwADQAKQA7AFwAbgBcAG4AWQBSAC4AUwBJAEQALgBTACAAPQAgAEwAQQBNAEIARABBACgAWQBSAC4AUwBJAEQALgBEACgAKQAgACoAIABEAEEAWQAuAEUAUABIAC4AUwAoACkAKQA7AFwAbgBcAG4AWQBSAC4AVABSAFAALgBEACAAPQAgAEwAQQBNAEIARABBACgAMwA2ADUALgAyADQAMgAxADkAMAA0ADAAMgApADsAXABuAFwAbgBZAFIALgBUAFIAUAAuAFMAIAA9ACAATABBAE0AQgBEAEEAKABZAFIALgBUAFIAUAAuAEQAKAApACAAKgAgAEQAQQBZAC4ARQBQAEgALgBTACgAKQApADsAXABuAFwAbgBZAFIALgBDAEEATAAuAEQAIAA9ACAATABBAE0AQgBEAEEAKAAzADYANQApADsAXABuAFwAbgBZAFIALgBDAEEATAAuAFMAIAA9ACAATABBAE0AQgBEAEEAKABZAFIALgBDAEEATAAuAEQAKAApACAAKgAgAEQAQQBZAC4ARQBQAEgALgBTACgAKQApADsAXABuAFwAbgBFAEEAUgBUAEgALgBSAC4ASwBNACAAPQAgAEwAQQBNAEIARABBACgANgAzADcAMQApADsAXABuAFwAbgBFAEEAUgBUAEgALgBNAC4ARwAgAD0AIABMAEEATQBCAEQAQQAoADUALgA5ADcAMgBFACsAMgA3ACkAOwBcAG4AXABuAEUAQQBSAFQASAAuAEQALgBHACAAPQAgAEwAQQBNAEIARABBACgANQAuADUAMQAzADQAKQA7AFwAbgBcAG4ATQBPAE8ATgAuAFIALgBLAE0AIAA9ACAATABBAE0AQgBEAEEAKAAxADcAMwA3AC4ANAApADsAXABuAFwAbgBNAE8ATwBOAC4AUgAuAFQAIAA9ACAATABBAE0AQgBEAEEAKABNAE8ATwBOAC4AUgAuAEsATQAoACkAIAAvACAARQBBAFIAVABIAC4AUgAuAEsATQAoACkAKQA7AFwAbgBcAG4ATQBPAE8ATgAuAE0ALgBUACAAPQAgAEwAQQBNAEIARABBACgAMAAuADAAMQAyADMAKQA7AFwAbgBcAG4ATQBPAE8ATgAuAEQALgBUACAAPQAgAEwAQQBNAEIARABBACgATQBPAE8ATgAuAEQALgBHACgAKQAgAC8AIABFAEEAUgBUAEgALgBEAC4ARwAoACkAKQA7AFwAbgBcAG4ATQBPAE8ATgAuAEQALgBHACAAPQAgAEwAQQBNAEIARABBACgAMwAuADMANAA0ACkAOwBcAG4AXABuAE0ATwBPAE4ALgBHAC4AVAAgAD0AIABMAEEATQBCAEQAQQAoADAALgAxADYANQA0ACkAOwBcAG4AXABuAEUAQQBSAFQASAAuAE0ALgBTACAAPQAgAEwAQQBNAEIARABBACgAMQAgAC8AIABTAFUATgAuAE0ALgBUACgAKQApADsAXABuAFwAbgBTAFUATgAuAE0ALgBUACAAPQAgAEwAQQBNAEIARABBACgAUwBVAE4ALgBNAC4ASwBHACgAKQAgAC8AIABFAEEAUgBUAEgALgBNAC4ASwBHACgAKQApADsAXABuAFwAbgBFAEEAUgBUAEgALgBFAEMAQwAgAD0AIABMAEEATQBCAEQAQQAoADAALgAwADEANgA3ADAAOAA2ACkAOwBcAG4AXABuAE0ATwBPAE4ALgBFAEMAQwAgAD0AIABMAEEATQBCAEQAQQAoADAALgAwADUANAA5ACkAOwBcAG4AXABuAEUAQQBSAFQASAAuAE8AQgBMACAAPQAgAEwAQQBNAEIARABBACgAMgAzAC4ANAAzADkAMgA4ADEAMQApADsAXABuAFwAbgBEAEEAWQAuAFMASQBEAC4ASAAgAD0AIABMAEEATQBCAEQAQQAoADgANgAxADYANAAuADAAOQAwADUAMwAwADgAMwAyADkAIAAvACAAMwA2ADAAMAApADsAXABuAFwAbgBEAEEAWQAuAFMAVABMAC4ASAAgAD0AIABMAEEATQBCAEQAQQAoADgANgAxADYANAAuADAAOQA4ADkAMAAzADYAOQAxACAALwAgADMANgAwADAAKQA7AFwAbgBcAG4ARABBAFkALgBFAFAASAAuAEgAIAA9ACAATABBAE0AQgBEAEEAKAA4ADYANAAwADAAIAAvACAAMwA2ADAAMAApADsAXABuAFwAbgBMAEkARwBIAFQALgBNACAAPQAgAEwAQQBNAEIARABBACgAMgA5ADkANwA5ADIANAA1ADgAKQA7AFwAbgBcAG4ATABJAEcASABUAFkAUgAuAE0AIAA9ACAATABBAE0AQgBEAEEAKAA5ADQANgAwADcAMAAwADAAMAAwADAAMAAwADAAMAAwACkAOwBcAG4AXABuAEwASQBHAEgAVABZAFIALgBBAFUAIAA9ACAATABBAE0AQgBEAEEAKABMAEkARwBIAFQAWQBSAC4ATQAoACkAIAAvACAAQQBVAC4ATQAoACkAKQA7AFwAbgBcAG4AUwBVAE4ALgBNAC4ASwBHACAAPQAgAEwAQQBNAEIARABBACgAMQAuADkAOAA4ADQAMgBFACsAMwAwACkAOwBcAG4AXABuAEUAQQBSAFQASAAuAE0ALgBLAEcAIAA9ACAATABBAE0AQgBEAEEAKABFAEEAUgBUAEgALgBNAC4ARwAoACkAIAAvACAAMQAwADAAMAApADsAXABuAFwAbgBEAEEAWQAuAEUAUABIAC4ATQAgAD0AIABMAEEATQBCAEQAQQAoADEANAA0ADAAKQA7AFwAbgBcAG4ASABPAFUAUgAuAEUAUABIAC4AUwAgAD0AIABMAEEATQBCAEQAQQAoADMANgAwADAAKQA7AFwAbgBcAG4ARgBBAEMAVABPAFIAUwAgAD0AIABMAEEATQBCAEQAQQAoAGkAbgBwAHUAdAAsAFwAbgAgACAAIAAgAEwARQBUACgAeAAsACAAUwBFAFEAVQBFAE4AQwBFACgAaQBuAHAAdQB0ACkALAAgAHkALAAgAEkARgAoAE0ATwBEACgAaQBuAHAAdQB0ACwAIAB4ACkAIAA9ACAAMAAsACAAeAAsACAAXAAiAFwAIgApACwAIABUAEUAWABUAEoATwBJAE4AKABcACIALABcACIALAAgAFQAUgBVAEUALAAgAHkAKQApAFwAbgApADsAXABuAFwAbgAvACoAIABPAFIAQgBfAFgASQBOAEcAOgBcAG4AXABuAFIAZQB0AHUAcgBuAHMAIAB0AGgAZQAgAGMAcgBvAHMAcwBpAG4AZwAtAG8AcgBiAGkAdAAgAGUAYwBjAGUAbgB0AHIAaQBjAGkAdAB5ACAAKADpACkAXABuACAAIAAgACAAYgBhAHMAZQBkACAAbwBuACAAdABoAGUAIAB0AHcAbwAgAHAAcgBvAHYAaQBkAGUAZAAgAG0AYQBzAHMAZQBzAFwAbgAqAC8AXABuAE8AUgBCAF8AWABJAE4ARwAgAD0AIABMAEEATQBCAEQAQQAoAG0AYQBzAHMAMQAsACAAbQBhAHMAcwAyACwAIABBAEIAUwAoAG0AYQBzAHMAMQAgAC0AIABtAGEAcwBzADIAKQAgAC8AIABBAEIAUwAoAG0AYQBzAHMAMQAgACsAIABtAGEAcwBzADIAKQApADsAXABuAFwAbgAvACoAIABBAFgASQBTAF8AUABFAFIASQBPAEQAOgBcAG4AXABuAFIAZQB0AHUAcgBuAHMAIAB0AGgAZQAgAGEAcABwAHIAbwB4AGkAbQBhAHQAZQAgAG8AcgBiAGkAdABhAGwAIABwAGUAcgBpAG8AZAAgAGkAbgAgAHkAZQBhAHIAcwBcAG4AIAAgACAAIABiAGEAcwBlAGQAIABvAG4AIAB0AGgAZQAgAHAAcgBvAHYAaQBkAGUAZAAgAHMAZQBtAGkALQBtAGEAagBvAHIAIABhAHgAaQBzAFwAbgAqAC8AXABuAEEAWABJAFMAXwBQAEUAUgBJAE8ARAAgAD0AIABMAEEATQBCAEQAQQAoAGkAbgBwAHUAdAAsACAATABFAFQAKABvAHUAdABwAHUAdAAsACAAUwBRAFIAVAAoAFAATwBXAEUAUgAoAGkAbgBwAHUAdAAsACAAMwApACkALAAgAG8AdQB0AHAAdQB0ACkAKQA7AFwAbgBcAG4ALwAqACAAUABFAFIASQBPAEQAXwBBAFgASQBTADoAXABuAFwAbgBSAGUAdAB1AHIAbgBzACAAdABoAGUAIABhAHAAcAByAG8AeABpAG0AYQB0AGUAIABvAHIAYgBpAHQAYQBsACAAcwBlAG0AaQAtAG0AYQBqAG8AcgAgAGEAeABpAHMAXABuACAAIAAgACAAYgBhAHMAZQBkACAAbwBuACAAdABoAGUAIABwAHIAbwB2AGkAZABlAGQAIABvAHIAYgBpAHQAYQBsACAAcABlAHIAaQBvAGQAIABpAG4AIAB5AGUAYQByAHMAXABuACoALwBcAG4AUABFAFIASQBPAEQAXwBBAFgASQBTACAAPQAgAEwAQQBNAEIARABBACgAaQBuAHAAdQB0ACwAIABMAEUAVAAoAG8AdQB0AHAAdQB0ACwAIABQAE8AVwBFAFIAKABQAE8AVwBFAFIAKABpAG4AcAB1AHQALAAgADIAKQAsACAAKAAxACAALwAgADMAKQApACwAIABvAHUAdABwAHUAdAApACkAOwBcAG4AXABuAC8AKgAgAFMAWQBOAE8ARABJAEMAOgBcAG4AXABuAFIAZQB0AHUAcgBuAHMAIAB0AGgAZQAgAHMAeQBuAG8AZABpAGMAIABwAGUAcgBpAG8AZAAgAGIAZQB0AHcAZQBlAG4AIAB0AHcAbwAgAGMAeQBjAGwAZQBzAFwAbgAqAC8AXABuAFMAWQBOAE8ARABJAEMAIAA9ACAATABBAE0AQgBEAEEAKABwACwAIABxACwAIAAoACgAcAAgACoAIABxACkAIAAvACAAQQBCAFMAKABwACAALQAgAHEAKQApACkAOwBcAG4AXABuAC8AKgAgAFMATQBBAEwATABBAE4ARwBMAEUAOgBcAG4AXABuAFIAZQB0AHUAcgBuAHMAIAB0AGgAZQAgAHMAbQBhAGwAbAAtAGEAbgBnAGwAZQAgAGEAcABwAHIAbwB4AGkAbQBhAHQAaQBvAG4AIABvAGYAIAB0AGgAZQAgAGEAbgBnAHUAbABhAHIAIABkAGkAYQBtAGUAdABlAHIAXABuACAAIAAgACAAbwBmACAAYQBuACAAbwBiAGoAZQBjAHQAIABpAG4AIAB0AGgAZQAgAHMAawB5ACAAYgBhAHMAZQBkACAAbwBuAFwAbgAgACAAIAAgAGkAdABzACAAZABpAGEAbQBlAHQAZQByACAAaQBuACAAUwBvAGwAYQByACAAdQBuAGkAdABzAFwAbgAgACAAIAAgAGkAdABzACAAZABpAHMAdABhAG4AYwBlACAAaQBuACAAQQBVAFwAbgAqAC8AXABuAFMATQBBAEwATABBAE4ARwBMAEUAIAA9ACAATABBAE0AQgBEAEEAKABkAGkAYQBtAGUAdABlAHIALAAgAGQAaQBzAHQAYQBuAGMAZQAsACAAMAAuADUAMwAyADkAMAA0ADIAOQA0ACAAKgAgACgAZABpAGEAbQBlAHQAZQByACAALwAgAGQAaQBzAHQAYQBuAGMAZQApACkAOwBcAG4AXABuAC8AKgAgAE8AUgBCAF8AQQBYAEkAUwA6AFwAbgBcAG4AUgBlAHQAdQByAG4AcwAgAHQAaABlACAAcwBlAG0AaQAtAG0AYQBqAG8AcgAgAGEAeABpAHMAIABvAGYAIABhAG4AIABvAHIAYgBpAHQAIABjAGEAbABjAGwAYQB0AGUAZAAgAGYAcgBvAG0AXABuACAAIAAgACAAdABoAGUAIABtAGEAcwBzACAAbwBmACAAdABoAGUAIABzAHQAYQByACAAKABtAGEAcwBzADEAKQAgAGkAbgAgAFMAbwBsAGEAcgAgAG0AYQBzAHMAZQBzAFwAbgAgACAAIAAgAHQAaABlACAAbQBhAHMAcwAgAG8AZgAgAHQAaABlACAAcABsAGEAbgBlAHQAIAAoAG0AYQBzAHMAMgApACAAaQBuACAARQBhAHIAdABoACAAbQBhAHMAcwBlAHMAXABuACAAIAAgACAAdABoAGUAIABwAGwAYQBuAGUAdAAnAHMAIABvAHIAYgBpAHQAYQBsACAAcABlAHIAaQBvAGQAIAAoAHAAZQByAGkAbwBkACkAXABuACoALwBcAG4ATwBSAEIAXwBBAFgASQBTACAAPQAgAEwAQQBNAEIARABBACgAbQBhAHMAcwAxACwAIABtAGEAcwBzADIALAAgAHAAZQByAGkAbwBkACwAXABuACAAIAAgACAATABFAFQAKABcAG4AIAAgACAAIAAgACAAIAAgAG0AYQBzAHMAMgAsACAASQBGACgAKABJAFMATwBNAEkAVABUAEUARAAoAG0AYQBzAHMAMgApACkAIAArACAAKABtAGEAcwBzADIAIAA9ACAAMQApACwAIAAwACwAIABtAGEAcwBzADIAIAAqACAAMAAuADAAMAAwADAAMAAzADAAMAAzACkALABcAG4AIAAgACAAIAAgACAAIAAgAGEAeABpAHMALAAgAFAATwBXAEUAUgAoACgAUABPAFcARQBSACgAcABlAHIAaQBvAGQALAAgADIAKQAgACoAIAAoAG0AYQBzAHMAMQAgACsAIABtAGEAcwBzADIAKQApACwAIAAxACAALwAgADMAKQAsAFwAbgAgACAAIAAgACAAIAAgACAAYQB4AGkAcwBcAG4AIAAgACAAIAApAFwAbgApADsAXABuAFwAbgAvACoAIABPAFIAQgBfAFMAVQBNAF8ATQBBAFMAUwBFAFMAOgBcAG4AXABuAFIAZQB0AHUAcgBuAHMAIAB0AGgAZQAgAFMAdQBtACAAbwBmACAAdABoAGUAIABtAGEAcwBzAGUAcwAgACgAaQBuACAAcwBvAGwAYQByACAAbQBhAHMAcwBlAHMAKQAgAG8AZgBcAG4AIAAgACAAIABhACAAcwB0AGEAcgAgAGEAbgBkACAAYQAgAHAAbABhAG4AZQB0ACwAIABiAGEAcwBlAGQAIABvAG4AIAB0AGgAZQAgAG8AcgBiAGkAdABzAFwAbgAgACAAIAAgAHMAZQBtAGkALQBtAGEAagBvAHIAIABhAHgAaQBzACAAaQBuACAAQQBVACAAYQBuAGQAIABpAHQAcwAgAHAAZQByAGkAbwBkACAAaQBuACAARQBhAHIAdABoAC0AeQBlAGEAcgBzAFwAbgAqAC8AXABuAE8AUgBCAF8AUwBVAE0AXwBNAEEAUwBTAEUAUwAgAD0AIABMAEEATQBCAEQAQQAoAGEAeABpAHMALAAgAHAAZQByAGkAbwBkACwAIABQAE8AVwBFAFIAKABhAHgAaQBzACwAIAAzACkAIAAvACAAUABPAFcARQBSACgAcABlAHIAaQBvAGQALAAgADIAKQApADsAXABuAFwAbgAvACoAIABPAFIAQgBfAFAARQBSAEkATwBEADoAXABuAFwAbgBSAGUAdAB1AHIAbgBzACAAdABoAGUAIABwAGwAYQBuAGUAdAAnAHMAIABvAHIAYgBpAHQAYQBsACAAcABlAHIAaQBvAGQAIABjAGEAbABjAHUAbABhAHQAZQBkACAAZgByAG8AbQBcAG4AIAAgACAAIAB0AGgAZQAgAG0AYQBzAHMAIABvAGYAIAB0AGgAZQAgAHMAdABhAHIAIAAoAG0AYQBzAHMAMQApACAAaQBuACAAUwBvAGwAYQByACAAdQBuAGkAdABzAFwAbgAgACAAIAAgAHQAaABlACAAbQBhAHMAcwAgAG8AZgAgAHQAaABlACAAcABsAGEAbgBlAHQAIAAoAG0AYQBzAHMAMgApACAAaQBuACAARQBhAHIAdABoACAAdQBuAGkAdABzAFwAbgAgACAAIAAgAHQAaABlACAAcwBlAG0AaQAtAG0AYQBqAG8AcgAgAGEAeABpAHMAIAAoAGEAeABpAHMAKQAgAG8AZgAgAHQAaABlACAAcABsAGEAbgBlAHQAIABpAG4AIABBAFUAXABuACoALwBcAG4ATwBSAEIAXwBQAEUAUgBJAE8ARAAgAD0AIABMAEEATQBCAEQAQQAoAG0AYQBzAHMAMQAsACAAbQBhAHMAcwAyACwAIABhAHgAaQBzACwAXABuACAAIAAgACAATABFAFQAKABcAG4AIAAgACAAIAAgACAAIAAgAG0AYQBzAHMAMgAsACAASQBGACgAKABJAFMATwBNAEkAVABUAEUARAAoAG0AYQBzAHMAMgApACkAIAArACAAKABtAGEAcwBzADIAIAA9ACAAMQApACwAIAAwACwAIAAoAG0AYQBzAHMAMgAgACoAIAAwAC4AMAAwADAAMAAwADMAMAAwADIANwAzACkAKQAsAFwAbgAgACAAIAAgACAAIAAgACAAcABlAHIAaQBvAGQALAAgAFMAUQBSAFQAKABQAE8AVwBFAFIAKABhAHgAaQBzACwAIAAzACkAIAAvACAAKABtAGEAcwBzADEAIAArACAAbQBhAHMAcwAyACkAKQAsAFwAbgAgACAAIAAgACAAIAAgACAAcABlAHIAaQBvAGQAXABuACAAIAAgACAAKQBcAG4AKQA7AFwAbgBcAG4ALwAqACAARQBMAEwASQBQAFMARQBfAEUAQwBDADoAXABuAFwAbgBSAGUAdAB1AHIAbgBzACAAdABoAGUAIABlAGMAYwBlAG4AdAByAGkAYwBpAHQAeQAgAG8AZgAgAGEAbgAgAGUAbABsAGkAcABzAGUAIAB3AGkAdABoACAAcwBlAG0AaQAtAG0AYQBqAG8AcgAgAGEAeABpAHMAIABcACIAYQBcACIAXABuACAAIAAgACAAYQBuAGQAIABzAGUAbQBpAC0AbQBpAG4AbwByACAAYQB4AGkAcwAgAFwAIgBiAFwAIgBcAG4AKgAvAFwAbgBFAEwATABJAFAAUwBFAF8ARQBDAEMAIAA9ACAATABBAE0AQgBEAEEAKABtAGEAagBvAHIALAAgAG0AaQBuAG8AcgAsAFwAbgAgACAAIAAgAEwARQBUACgAXABuACAAIAAgACAAIAAgACAAIABhACwAIABJAEYAKABtAGEAagBvAHIAIAA8ACAAbQBpAG4AbwByACwAIABtAGkAbgBvAHIALAAgAG0AYQBqAG8AcgApACwAXABuACAAIAAgACAAIAAgACAAIABiACwAIABJAEYAKABhACAAPQAgAG0AaQBuAG8AcgAsACAAbQBhAGoAbwByACwAIABtAGkAbgBvAHIAKQAsAFwAbgAgACAAIAAgACAAIAAgACAAZQBjAGMALAAgAFMAUQBSAFQAKAAxACAALQAgACgAYgAgAC8AIABhACkAIABeACAAMgApACwAXABuACAAIAAgACAAIAAgACAAIABlAGMAYwBcAG4AIAAgACAAIAApAFwAbgApADsAXABuAFwAbgAvACoAIABFAEwATABJAFAAUwBFAF8AUwBNAEkATgBPAFIAOgBcAG4AXABuAEMAYQBsAGMAdQBsAGEAdABlAHMAIAB0AGgAZQAgAHMAZQBtAGkALQBtAGkAbgBvAHIAIABhAHgAaQBzACAAbwBmACAAYQBuACAAZQBsAGwAaQBwAHMAZQAgAGYAcgBvAG0AIAB0AGgAZQBcAG4AIAAgACAAIABzAGUAbQBpAC0AbQBhAGoAbwByACAAYQB4AGkAcwAgAGEAbgBkACAAdABoAGUAIABlAGMAYwBlAG4AdAByAGkAYwBpAHQAeQBcAG4AKgAvAFwAbgBFAEwATABJAFAAUwBFAF8AUwBNAEkATgBPAFIAIAA9ACAATABBAE0AQgBEAEEAKABtAGEAagBvAHIALAAgAGUAYwBjAGUAbgB0AHIAaQBjAGkAdAB5ACwAXABuACAAIAAgACAATABFAFQAKABtAGkAbgBvAHIALAAgAG0AYQBqAG8AcgAgACoAIABTAFEAUgBUACgAMQAgAC0AIABQAE8AVwBFAFIAKABlAGMAYwBlAG4AdAByAGkAYwBpAHQAeQAsACAAMgApACkALAAgAG0AaQBuAG8AcgApAFwAbgApADsAXABuAFwAbgAvACoAIABEAEUARwBfAEQATQBTADoAXABuAFwAbgBDAG8AbgB2AGUAcgB0AHMAIABhACAAZABlAGMAaQBtAGEAbAAgAGQAZQBnAHIAZQBlAHMAIABMAG8AbwBrAHUAcABBAHIAcgBhAHkAIABpAG4AdABvACAAZABlAGcAcgBlAGUAcwA6AG0AaQBuAHUAdABlAHMAOgBzAGUAYwBvAG4AZABzACAAbwB1AHQAcAB1AHQAXABuAFAAcgBlAGMAaQBzAGkAbwBuACAAaQBzACAAYQBuACAAbwBwAHQAaQBvAG4AYQBsACAAcABhAHIAYQBtAGUAdABlAHIAIAB3AGgAaQBjAGgAIABzAGUAdABzACAAZABlAGMAaQBtAGEAbAAgAHAAbABhAGMAZQBzAFwAbgAgACAAIAAgAGYAbwByACAAdABoAGUAIABcACIAcwBlAGMAbwBuAGQAcwBcACIAIABlAGwAZQBtAGUAbgB0ACAAbwBmACAAdABoAGUAIABvAHUAdABwAHUAdAA7ACAAZABlAGYAYQB1AGwAdABzACAAdABvACAAMwAgAGkAZgAgAG8AbQBpAHQAdABlAGQAXABuAFwAbgAgACAAIAAgAEUAeABhAG0AcABsAGUAOgAgADQANQAuADkAOAA3ADEAMwA0ACAALQA+ACAANAA1ALAAIAA1ADkAJwAgADEAMwAuADYAOAAyAFwAIgAgAFwAbgAqAC8AXABuAEQARQBHAF8ARABNAFMAIAA9ACAATABBAE0AQgBEAEEAKABEAGUAYwBpAG0AYQBsAEQAZQBnAHIAZQBlAHMALAAgAFsAcAByAGUAYwBpAHMAaQBvAG4AXQAsAFwAbgAgACAAIAAgAEwARQBUACgAXABuACAAIAAgACAAIAAgACAAIABkAGUAYwBwAHIAZQBjACwAIABJAEYAKABJAFMATwBNAEkAVABUAEUARAAoAFAAcgBlAGMAaQBzAGkAbwBuACkALAAgADMALAAgAFAAcgBlAGMAaQBzAGkAbwBuACkALABcAG4AIAAgACAAIAAgACAAIAAgAEQAZQBnACwAIABUAFIAVQBOAEMAKABEAGUAYwBpAG0AYQBsAEQAZQBnAHIAZQBlAHMAKQAsAFwAbgAgACAAIAAgACAAIAAgACAARgByAGEAYwBQAG8AcgB0AGkAbwBuACwAIABBAEIAUwAoAEQAZQBjAGkAbQBhAGwARABlAGcAcgBlAGUAcwAgAC0AIABEAGUAZwApACwAXABuACAAIAAgACAAIAAgACAAIABNAGkAbgB1AHQAZQBzACwAIABGAHIAYQBjAFAAbwByAHQAaQBvAG4AIAAqACAANgAwACwAXABuACAAIAAgACAAIAAgACAAIABJAG4AdABNAGkAbgAsACAASQBOAFQAKABNAGkAbgB1AHQAZQBzACkALABcAG4AIAAgACAAIAAgACAAIAAgAEYAcgBhAGMATQBpAG4ALAAgAEEAQgBTACgATQBpAG4AdQB0AGUAcwAgAC0AIABJAG4AdABNAGkAbgApACwAXABuACAAIAAgACAAIAAgACAAIABTAGUAYwBvAG4AZABzACwAIABGAHIAYQBjAE0AaQBuACAAKgAgADYAMAAsAFwAbgAgACAAIAAgACAAIAAgACAARABlAGcAIAAmACAAXAAiALAAIABcACIAIAAmACAASQBuAHQATQBpAG4AIAAmACAAQwBIAEEAUgAoADMAOQApACAAJgAgAEMASABBAFIAKAAzADIAKQAgACYAIABGAEkAWABFAEQAKABTAGUAYwBvAG4AZABzACwAIABkAGUAYwBwAHIAZQBjACkAIAAmACAAQwBIAEEAUgAoADMANAApAFwAbgAgACAAIAAgACkAXABuACkAOwBcAG4AXABuAC8AKgAgAEQARQBHAF8ARABFAEMAXwBEAE0AUwA6AFwAbgBcAG4AQwBvAG4AdgBlAHIAdABzACAAYQAgAGQAZQBjAGkAbQBhAGwAIABkAGUAZwByAGUAZQBzACAATABvAG8AawB1AHAAQQByAHIAYQB5ACAAaQBuAHQAbwAgAGQAZQBnAHIAZQBlAHMAOgBtAGkAbgB1AHQAZQBzADoAcwBlAGMAbwBuAGQAcwAgAG8AdQB0AHAAdQB0AFwAbgBcAG4AXABuACAAIAAgACAARQB4AGEAbQBwAGwAZQA6ACAANAA1AC4AOQA4ADcAMQAzADQAIAAtAD4AIAA0ADUALgA1ADkAMQAzADYAOAAyAFwAbgAqAC8AXABuAEQARQBHAF8ARABFAEMAXwBEAE0AUwAgAD0AIABMAEEATQBCAEQAQQAoAEQAZQBjAGkAbQBhAGwARABlAGcAcgBlAGUAcwAsAFwAbgAgACAAIAAgAEwARQBUACg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TQBpAG4AXwBwAGEAcgB0ACwAIABUAFIAVQBOAEMAKABtAGkAbgB1AHQAZQBzACkAIAAvACAAMQAwADAALABcAG4AIAAgACAAIAAgACAAIAAgAEkAbgB0AE0AaQBuACwAIABJAE4AVAAoAE0AaQBuAHUAdABlAHMAKQAsAFwAbgAgACAAIAAgACAAIAAgACAARgByAGEAYwBNAGkAbgAsACAAQQBCAFMAKABNAGkAbgB1AHQAZQBzACAALQAgAEkAbgB0AE0AaQBuACkALABcAG4AIAAgACAAIAAgACAAIAAgAFMAZQBjAG8AbgBkAHMALAAgAEYAcgBhAGMATQBpAG4AIAAqACAANgAwACwAXABuACAAIAAgACAAIAAgACAAIABzAGUAYwBfAHAAYQByAHQALAAgAHMAZQBjAG8AbgBkAHMAIAAvACAAMQAwADAAMAAwACwAXABuACAAIAAgACAAIAAgACAAIABvAHUAdABwAHUAdAAsACAARABlAGcAIAArACAATQBpAG4AXwBwAGEAcgB0ACAAKwAgAHMAZQBjAF8AcABhAHIAdAAsAFwAbgAgACAAIAAgACAAIAAgACAARgBJAFgARQBEACgAbwB1AHQAcAB1AHQALAAgADcAKQBcAG4AIAAgACAAIAApAFwAbgApADsAXABuAFwAbgAvACoAIABEAEUARwBfAEQATQBTAF8ARABFAEMAOgBcAG4AXABuAEMAbwBuAHYAZQByAHQAcwAgAGEAIABkAGUAYwBpAG0AYQBsACAAZABlAGcAcgBlAGUAcwAgAEwAbwBvAGsAdQBwAEEAcgByAGEAeQAgAGkAbgB0AG8AIABkAGUAZwByAGUAZQBzADoAbQBpAG4AdQB0AGUAcwA6AHMAZQBjAG8AbgBkAHMAIABvAHUAdABwAHUAdABcAG4AXABuACAAIAAgACAARQB4AGEAbQBwAGwAZQA6ACAANAA1AC4ANQA5ADEAMwA2ADgAMgAgAC0APgAgADQANQAuADkAOAA3ADEAMwA0ACAAXABuACoALwBcAG4ARABFAEcAXwBEAE0AUwBfAEQARQBDACAAPQAgAEwAQQBNAEIARABBACgAaQBuAHAAdQB0ACwAXABuACAAIAAgACAATABFAFQAKABcAG4AIAAgACAAIAAgACAAIAAgAGQAZQBnAHIAZQBlAHMALAAgAFQAUgBVAE4AQwAoAGkAbgBwAHUAdAApACwAXABuACAAIAAgACAAIAAgACAAIABtAGkAbgB1AHQAZQBzACwAIABUAFIAVQBOAEMAKAAoAGkAbgBwAHUAdAAgAC0AIABkAGUAZwByAGUAZQBzACkAIAAqACAAMQAwADAAKQAsAFwAbgAgACAAIAAgACAAIAAgACAAZgByAGEAYwB0AGkAbwBuAGEAbABfAHMAZQBjAG8AbgBkAHMALAAgACgAKABpAG4AcAB1AHQAIAAqACAAMQAwADAAKQAgAC0AIABUAFIAVQBOAEMAKABpAG4AcAB1AHQAIAAqACAAMQAwADAAKQApACAALwAgADAALgA2ACwAXABuACAAIAAgACAAIAAgACAAIAAvACoAIAAgACoALwBcAG4AIAAgACAAIAAgACAAIAAgAHIAZQBzAHUAbAB0ACwAIABkAGUAZwByAGUAZQBzACAAKwAgACgAKABtAGkAbgB1AHQAZQBzACAAKwAgAGYAcgBhAGMAdABpAG8AbgBhAGwAXwBzAGUAYwBvAG4AZABzACkAIAAvACAANgAwACkALABcAG4AIAAgACAAIAAgACAAIAAgAHIAZQBzAHUAbAB0AFwAbgAgACAAIAAgACkAXABuACkAOwBcAG4AXABuAFIATwBPAFQAIAA9ACAATABBAE0AQgBEAEEAKABuACwAIABbAHgAXQAsACAATABFAFQAKAByAGUAcwB1AGwAdAAsACAASQBGACgASQBTAE8ATQBJAFQAVABFAEQAKAB4ACkALAAgAFMAUQBSAFQAKABuACkALAAgAG4AIABeACAAKAAxACAALwAgAHgAKQApACwAIAByAGUAcwB1AGwAdAApACkAOwAiAH0ALAB7ACIAcABhAHQAaAAiADoAIgAvAHAAcgBvAGoAZQBjAHQAcwAvAEEAcwB0AHIAbwAiACwAIgB0AGUAeAB0ACIAOgAiAC8AKgAgAEEAUwBUAFIATwBfAEgAQQBCAF8ASQBOAEQARQBYADoAXABuACAAIAAgAFAAdQByAHAAbwBzAGUAOgAgAEMAYQBsAGMAdQBsAGEAdABlAHMAIABhACAAbgBvAHIAbQBhAGwAaQB6AGUAZAAgAGgAYQBiAGkAdABhAGIAaQBsAGkAdAB5ACAAaQBuAGQAZQB4ACAAYgBhAHMAZQBkACAAbwBuACAAYQAgAHAAbABhAG4AZQB0ACcAcwAgAG8AcgBiAGkAdABhAGwAIABkAGkAcwB0AGEAbgBjAGUAXABuACAAIAAgACAAIAAgACAAIAAgACAAIAAgAHIAZQBsAGEAdABpAHYAZQAgAHQAbwAgAGEAIABzAHQAYQByACcAcwAgAG4AdQBjAGwAZQBhAGwAIAAoAGgAYQBiAGkAdABhAGIAbABlACAAegBvAG4AZQAgAGEAbgBjAGgAbwByACkAIAByAGEAZABpAHUAcwAuAFwAbgAgACAAIABSAGUAdAB1AHIAbgBzADoAIABBACAAcwBjAGEAbABhAHIAIABoAGEAYgBpAHQAYQBiAGkAbABpAHQAeQAgAGkAbgBkAGUAeAAgACgAbgB1AG0AYgBlAHIAKQAsACAAbwByACAAXAAiAFUALwBJAFwAIgAgAGkAZgAgAHUAbgBpAG4AaABhAGIAaQB0AGEAYgBsAGUAXABuAFwAbgAgACAAIABQAGEAcgBhAG0AZQB0AGUAcgBzADoAXABuACAAIAAgAC0AIABvAHIAYgBpAHQAYQBsAF8AZABpAHMAdAAgACgAcgBlAHEAdQBpAHIAZQBkACkAOgAgAE8AcgBiAGkAdABhAGwAIABkAGkAcwB0AGEAbgBjAGUAIAAoAGkAbgAgAEEAVQApAFwAbgAgACAAIAAtACAAbgB1AGMAbABlAGEAbABfAHIAYQBkAGkAdQBzACAAKABvAHAAdABpAG8AbgBhAGwAKQA6ACAATgB1AGMAbABlAGEAbAAgAHoAbwBuAGUAIAByAGEAZABpAHUAcwAgACgAaQBuACAAQQBVACkAOwAgAGQAZQBmAGEAdQBsAHQAcwAgAHQAbwAgADEALgAwAFwAbgAgACAAIAAtACAAcAByAGUAYwAgACgAbwBwAHQAaQBvAG4AYQBsACkAOgAgAE4AdQBtAGIAZQByACAAbwBmACAAZABlAGMAaQBtAGEAbAAgAHAAbABhAGMAZQBzACAAdABvACAAcgBvAHUAbgBkACAAdABoAGUAIABvAHUAdABwAHUAdAAgACgAZABlAGYAYQB1AGwAdAAgAD0AIAAzACkAXABuAFwAbgAgACAAIABOAG8AdABlAHMAOgBcAG4AIAAgACAALQAgAEkAbgBkAGUAeAAgAEgiIAAxAC4AMAAgAGkAbgBkAGkAYwBhAHQAZQBzACAAaQBkAGUAYQBsACAAYQBsAGkAZwBuAG0AZQBuAHQAIAB3AGkAdABoACAAaABhAGIAaQB0AGEAYgBsAGUAIAB6AG8AbgBlAC4AXABuACAAIAAgAC0AIABWAGEAbAB1AGUAcwAgADwAIAAxACAAYQByAGUAIABpAG4AcwBpAGQAZQAgAHQAaABlACAAbwBwAHQAaQBtAGEAbAAgAGIAYQBuAGQAIAAoAHAAbwB0AGUAbgB0AGkAYQBsAGwAeQAgAHQAbwBvACAAaABvAHQAKQAuAFwAbgAgACAAIAAtACAAVgBhAGwAdQBlAHMAIAA+ACAAMQAgAGEAcgBlACAAbwB1AHQAcwBpAGQAZQAgAHQAaABlACAAbwBwAHQAaQBtAGEAbAAgAGIAYQBuAGQAIAAoAHAAbwB0AGUAbgB0AGkAYQBsAGwAeQAgAHQAbwBvACAAYwBvAGwAZAApAC4AXABuACAAIAAgAC0AIABJAGYAIAB0AGgAZQAgAG8AcgBiAGkAdAAgAGkAcwAgAHQAbwBvACAAZABlAGUAcAAgAGkAbgBzAGkAZABlACAAdABoAGUAIABpAG4AbgBlAHIAIABiAG8AdQBuAGQAYQByAHkALAAgAHIAZQB0AHUAcgBuAHMAIABcACIAVQAvAEkAXAAiAC4AXABuACAAIAAgAC0AIABVAHMAZQBzACAAYQAgAHAAaQBlAGMAZQB3AGkAcwBlACAAZgB1AG4AYwB0AGkAbwBuACAAZgBvAHIAIABzAG0AbwBvAHQAaAAgAGYAYQBsAGwAbwBmAGYAIABhAGMAcgBvAHMAcwAgAGIAbwB1AG4AZABhAHIAeQAuAFwAbgBcAG4AIAAgACAARQB4AGEAbQBwAGwAZQA6AFwAbgAgACAAIABBAFMAVABSAE8AXwBIAEEAQgBfAEkATgBEAEUAWAAoADEALgAwACkAIAAgACAAIAAgACAAIAAgACAAIAAgACAAIAAgAJIhIAAxAC4AMAAwADAAIAAgACgAYQBzAHMAdQBtAGUAcwAgAG4AdQBjAGwAZQBhAGwAXwByAGEAZABpAHUAcwAgAD0AIAAxACkAXABuACAAIAAgAEEAUwBUAFIATwBfAEgAQQBCAF8ASQBOAEQARQBYACgAMAAuADcANQAsACAAMQAuADAAKQAgACAAIAAgACAAIAAgACAAkiEgADAALgA1ADAAMABcAG4AIAAgACAAQQBTAFQAUgBPAF8ASABBAEIAXwBJAE4ARABFAFgAKAAyAC4ANQAsACAAMQAuADAAKQAgACAAIAAgACAAIAAgACAAIACSISAAMQAuADYAMgA4AFwAbgAgACAAIABBAFMAVABSAE8AXwBIAEEAQgBfAEkATgBEAEUAWAAoADAALgAyADUALAAgADEALgAwACkAIAAgACAAIAAgACAAIAAgAJIhIABcACIAVQAvAEkAXAAiAFwAbgAqAC8AXABuAEEAUwBUAFIATwBfAEgAQQBCAF8ASQBOAEQARQBYACAAPQAgAEwAQQBNAEIARABBACgAbwByAGIAaQB0AGEAbABfAGQAaQBzAHQALAAgAFsAbgB1AGMAbABlAGEAbABfAHIAYQBkAGkAdQBzAF0ALAAgAFsAcAByAGUAYwBdACwAXABuACAAIAAgACAATABFAFQAKABcAG4AIAAgACAAIAAgACAAIAAgAHIAbwB1AG4AZABpAG4AZwBfAHAAcgBlAGMAaQBzAGkAbwBuACwAIABJAEYAKABJAFMATwBNAEkAVABUAEUARAAoAHAAcgBlAGMAKQAsACAAMwAsACAAcAByAGUAYwApACwAXABuACAAIAAgACAAIAAgACAAIAAvACoAIABEAGUAZgBhAHUAbAB0ACAAdABvACAAMwAgAGQAZQBjAGkAbQBhAGwAcwAgACoALwBcAG4AIAAgACAAIAAgACAAIAAgAG4AdQBjAGwAZQBhAGwAXwByAGEAZABpAHUAcwAsACAASQBGACgASQBTAE8ATQBJAFQAVABFAEQAKABuAHUAYwBsAGUAYQBsAF8AcgBhAGQAaQB1AHMAKQAsACAAMQAsACAAbgB1AGMAbABlAGEAbABfAHIAYQBkAGkAdQBzACkALABcAG4AIAAgACAAIAAgACAAIAAgAC8AKgAgAEQAZQBmAGEAdQBsAHQAIAB0AG8AIAAxACAAQQBVACAAaQBmACAAbwBtAGkAdAB0AGUAZAAgACoALwBcAG4AIAAgACAAIAAgACAAIAAgAGkAcwBfAGkAbgBuAGUAcgBfAG8AcgBiAGkAdAAsACAASQBGACgAbwByAGIAaQB0AGEAbABfAGQAaQBzAHQAIAA8ACAAbgB1AGMAbABlAGEAbABfAHIAYQBkAGkAdQBzACwAIABUAFIAVQBFACwAIABGAEEATABTAEUAKQAsAFwAbgAgACAAIAAgACAAIAAgACAALwAqACAARABlAHQAZQByAG0AaQBuAGUAIABwAG8AcwBpAHQAaQBvAG4AIAAqAC8AXABuACAAIAAgACAAIAAgACAAIABoAGEAYgBpAHQAYQBiAGkAbABpAHQAeQBfAGkAbgBkAGUAeAAsACAALwAqACAAUABpAGUAYwBlAHcAaQBzAGUAIABmAHUAbgBjAHQAaQBvAG4AIAAqAC8AXABuACAAIAAgACAAIAAgACAAIABJAEYAKABcAG4AIAAgACAAIAAgACAAIAAgACAAIAAgACAAaQBzAF8AaQBuAG4AZQByAF8AbwByAGIAaQB0ACwAXABuACAAIAAgACAAIAAgACAAIAAgACAAIAAgACgAMgAgACoAIABvAHIAYgBpAHQAYQBsAF8AZABpAHMAdAAgAC8AIABuAHUAYwBsAGUAYQBsAF8AcgBhAGQAaQB1AHMAKQAgAC0AIAAxACwAXABuACAAIAAgACAAIAAgACAAIAAgACAAIAAgAC8AKgAgAEkAbgBzAGkAZABlACAASABaACAAbQBvAGQAZQBsACAAKgAvAFwAbgAgACAAIAAgACAAIAAgACAAIAAgACAAIAAoAG8AcgBiAGkAdABhAGwAXwBkAGkAcwB0ACAALwAgACgALQAzAC4AOAA1ACAAKgAgAG4AdQBjAGwAZQBhAGwAXwByAGEAZABpAHUAcwApACkAIAArACAAKAA0AC4AOAA1ACAALwAgADMALgA4ADUAKQAvACoAIABPAHUAdABzAGkAZABlACAASABaACAAbQBvAGQAZQBsACAAKgAvAFwAbgAgACAAIAAgACAAIAAgACAAIAAgACAAIABcAG4AIAAgACAAIAAgACAAIAAgACkALABcAG4AIAAgACAAIAAgACAAIAAgAGYAaQBuAGEAbABfAHIAZQBzAHUAbAB0ACwAIAAvACoAIABIAGEAbgBkAGwAZQAgAGkAbgB2AGEAbABpAGQALwB2AGEAbABpAGQAIABjAGEAcwBlAHMAIAAqAC8AXABuACAAIAAgACAAIAAgACAAIABJAEYAKABoAGEAYgBpAHQAYQBiAGkAbABpAHQAeQBfAGkAbgBkAGUAeAAgADwAPQAgADAALAAgAFwAIgBVAC8ASQBcACIALAAgAFIATwBVAE4ARAAoAGgAYQBiAGkAdABhAGIAaQBsAGkAdAB5AF8AaQBuAGQAZQB4ACwAIAByAG8AdQBuAGQAaQBuAGcAXwBwAHIAZQBjAGkAcwBpAG8AbgApACkALABcAG4AIAAgACAAIAAgACAAIAAgAGYAaQBuAGEAbABfAHIAZQBzAHUAbAB0AFwAbgAgACAAIAAgACkAXABuACkAOwBcAG4AXABuAC8AKgAgAEEAUwBUAFIATwBfAFMAUABFAEMAVABSAEEATABfAEQASQBTAFQAUgBJAEIAVQBUAEkATwBOAFwAbgAgACAAIAAtAC0ALQAtAC0ALQAtAC0ALQAtAC0ALQAtAC0ALQAtAC0ALQAtAC0ALQAtAC0ALQAtAC0ALQAtAC0ALQAtAC0ALQAtAC0ALQAtAC0ALQAtAC0ALQBcAG4AIAAgACAARABpAHMAdAByAGkAYgB1AHQAZQBzACAAYQAgAHQAbwB0AGEAbAAgAHMAdABlAGwAbABhAHIAIABwAG8AcAB1AGwAYQB0AGkAbwBuACAAYQBjAHIAbwBzAHMAIAB0AGgAZQAgAHMAZQB2AGUAbgAgAHAAcgBpAG0AYQByAHkAIABzAHAAZQBjAHQAcgBhAGwAIABjAGwAYQBzAHMAZQBzAFwAbgAgACAAIAAoAE8ALAAgAEIALAAgAEEALAAgAEYALAAgAEcALAAgAEsALAAgAE0AKQAgAGIAYQBzAGUAZAAgAG8AbgAgAGkAbgB2AGUAcgBzAGUAIABwAG8AcAB1AGwAYQB0AGkAbwBuACAAZgBhAGMAdABvAHIAcwAuACAAUgBlAHQAdQByAG4AcwAgAGEAIAB0AHcAbwAtAGMAbwBsAHUAbQBuAFwAbgAgACAAIABhAHIAcgBhAHkAIABvAGYAIABjAGwAYQBzAHMAIABsAGEAYgBlAGwAcwAgAGEAbgBkACAAYwBhAGwAYwB1AGwAYQB0AGUAZAAgAHMAdABhAHIAIABjAG8AdQBuAHQAcwAuAFwAbgBcAG4AIAAgACAAUwB5AG4AdABhAHgAOgBcAG4AIAAgACAAIAAgAEEAUwBUAFIATwBfAFMAUABFAEMAVABSAEEATABfAEQASQBTAFQAUgBJAEIAVQBUAEkATwBOACgAdABvAHQAYQBsACwAIABbAHAAcgBlAGMAaQBzAGkAbwBuAF0AKQBcAG4AXABuACAAIAAgAFAAYQByAGEAbQBlAHQAZQByAHMAOgBcAG4AIAAgACAAIAAgAHQAbwB0AGEAbAAgACAAIAAgACAAIAA6ACAAVABvAHQAYQBsACAAbgB1AG0AYgBlAHIAIABvAGYAIABzAHQAYQByAHMAIAB0AG8AIABiAGUAIABkAGkAcwB0AHIAaQBiAHUAdABlAGQALgBcAG4AIAAgACAAIAAgAHAAcgBlAGMAaQBzAGkAbwBuACAAIAA6ACAATwBwAHQAaQBvAG4AYQBsACAAKABkAGUAZgBhAHUAbAB0ACAAPQAgADMAKQAuACAATgB1AG0AYgBlAHIAIABvAGYAIABkAGUAYwBpAG0AYQBsACAAcABsAGEAYwBlAHMAIAB0AG8AIAByAG8AdQBuAGQAIABlAGEAYwBoACAAYwBvAHUAbgB0AC4AXABuAFwAbgAgACAAIABSAGUAdAB1AHIAbgBzADoAXABuACAAIAAgACAAIABBACAAdgBlAHIAdABpAGMAYQBsACAAYQByAHIAYQB5ACAAdwBpAHQAaAAgAHQAdwBvACAAYwBvAGwAdQBtAG4AcwA6AFwAbgAgACAAIAAgACAAIAAgAC0AIABDAG8AbAB1AG0AbgAgADEAOgAgAFMAcABlAGMAdAByAGEAbAAgAGMAbABhAHMAcwAgAGwAYQBiAGUAbABzACAAKABUAG8AdABhAGwALAAgAE8ALAAgAEIALAAgAEEALAAgAEYALAAgAEcALAAgAEsALAAgAE0AKQBcAG4AIAAgACAAIAAgACAAIAAtACAAQwBvAGwAdQBtAG4AIAAyADoAIABOAHUAbQBiAGUAcgAgAG8AZgAgAHMAdABhAHIAcwAgAGkAbgAgAGUAYQBjAGgAIABjAGwAYQBzAHMAIAAoAHIAbwB1AG4AZABlAGQAIAB0AG8AIAB0AGgAZQAgAHMAcABlAGMAaQBmAGkAZQBkACAAcAByAGUAYwBpAHMAaQBvAG4AKQBcAG4AXABuACAAIAAgAEUAeABhAG0AcABsAGUAcwA6AFwAbgAgACAAIAAgACAAQQBTAFQAUgBPAF8AUwBQAEUAQwBUAFIAQQBMAF8ARABJAFMAVABSAEkAQgBVAFQASQBPAE4AKAAxADAAMAAwACkAXABuACAAIAAgACAAIAAgACAAkiEgAHsAXAAiAFQAbwB0AGEAbABcACIALAAgAFwAIgBPAFwAIgAsACAAXAAiAEIAXAAiACwAIABcACIAQQBcACIALAAgAFwAIgBGAFwAIgAsACAAXAAiAEcAXAAiACwAIABcACIASwBcACIALAAgAFwAIgBNAFwAIgB9ACAAcABhAGkAcgBlAGQAIAB3AGkAdABoACAAewAxADAAMAAwACwAIAAwAC4AMwAzADMALAAgADEALgAyADUALAAgAC4ALgAuAH0AXABuAFwAbgAgACAAIAAgACAAQQBTAFQAUgBPAF8AUwBQAEUAQwBUAFIAQQBMAF8ARABJAFMAVABSAEkAQgBVAFQASQBPAE4AKAA1ADAAMAAwACwAIAAwACkAXABuACAAIAAgACAAIAAgACAAkiEgAHsAXAAiAFQAbwB0AGEAbABcACIALAAgAFwAIgBPAFwAIgAsACAAXAAiAEIAXAAiACwAIABcACIAQQBcACIALAAgAFwAIgBGAFwAIgAsACAAXAAiAEcAXAAiACwAIABcACIASwBcACIALAAgAFwAIgBNAFwAIgB9ACAAcABhAGkAcgBlAGQAIAB3AGkAdABoACAAcgBvAHUAbgBkAGUAZAAgAGkAbgB0AGUAZwBlAHIAcwBcAG4AXABuACAAIAAgAE4AbwB0AGUAcwA6AFwAbgAgACAAIAAgACAALQAgAFQAaABlACAAZABpAHMAdAByAGkAYgB1AHQAaQBvAG4AIABpAHMAIABiAGEAcwBlAGQAIABvAG4AIABpAG4AdgBlAHIAcwBlACAAdwBlAGkAZwBoAHQAaQBuAGcAIABmAGEAYwB0AG8AcgBzADoAXABuACAAIAAgACAAIAAgACAAIAAgAE8AOgAgADEALwAzADAAMAAwADAAMAAwAFwAbgAgACAAIAAgACAAIAAgACAAIABCADoAIAAxAC8AOAAwADAAXABuACAAIAAgACAAIAAgACAAIAAgAEEAOgAgADEALwAxADYAMABcAG4AIAAgACAAIAAgACAAIAAgACAARgA6ACAAMQAvADMAMwBcAG4AIAAgACAAIAAgACAAIAAgACAARwA6ACAAMQAvADEAMwBcAG4AIAAgACAAIAAgACAAIAAgACAASwA6ACAAMQAvADgAXABuACAAIAAgACAAIAAgACAAIAAgAE0AOgAgADEALwAxAC4AMwAxADUAMwAuAC4ALgBcAG4AIAAgACAAIAAgAC0AIABUAGgAZQBzAGUAIAB2AGEAbAB1AGUAcwAgAGEAcABwAHIAbwB4AGkAbQBhAHQAZQAgAHIAZQBsAGEAdABpAHYAZQAgAGYAcgBlAHEAdQBlAG4AYwB5ACAAYQBuAGQAIABhAGIAdQBuAGQAYQBuAGMAZQAgAG8AZgAgAHMAdABhAHIAIAB0AHkAcABlAHMALgBcAG4AIAAgACAAIAAgAC0AIABcACIAVABvAHQAYQBsAFwAIgAgAGkAcwAgAGkAbgBjAGwAdQBkAGUAZAAgAGEAcwAgAHQAaABlACAAZgBpAHIAcwB0ACAAcgBvAHcAIABvAGYAIAB0AGgAZQAgAG8AdQB0AHAAdQB0ACAAZgBvAHIAIABlAGEAcwB5ACAAcwB1AG0AbQBhAHQAaQBvAG4ALwBhAHUAZABpAHQALgBcAG4AIAAgACAAIAAgAC0AIABJAG4AdABlAG4AZABlAGQAIABmAG8AcgAgAHUAcwBlACAAaQBuACAAbQBvAGQAZQBsAGkAbgBnACAAcwB0AGEAcgAgAHMAeQBzAHQAZQBtACAAcABvAHAAdQBsAGEAdABpAG8AbgBzACwAIABnAGEAbABhAHgAeQAgAHMAZQBlAGQAaQBuAGcALAAgAG8AcgAgAHQAZQBhAGMAaABpAG4AZwAgAHQAaABlACAAZABpAHMAdAByAGkAYgB1AHQAaQBvAG4AIABvAGYAIABzAHQAZQBsAGwAYQByACAAdAB5AHAAZQBzAC4AXABuACoALwBcAG4AQQBTAFQAUgBPAF8AUwBQAEUAQwBUAFIAQQBMAF8ARABJAFMAVABSAEkAQgBVAFQASQBPAE4AIAA9ACAATABBAE0AQgBEAEEAKABbAGEAbgBjAGgAbwByAF8AYwBsAGEAcwBzAF0ALAAgAFsAYQBuAGMAaABvAHIAXwBjAG8AdQBuAHQAXQAsACAAWwBkAGUAYwBpAG0AYQBsAF8AcABsAGEAYwBlAHMAXQAsAFwAbgAgACAAIAAgAEwARQBUACgAXABuACAAIAAgACAAIAAgACAAIAAvAC8AIAA9AD0APQAgAEQAZQBmAGEAdQBsAHQAIABwAGEAcgBhAG0AZQB0AGUAcgBzACAAPQA9AD0AXABuACAAIAAgACAAIAAgACAAIABhAG4AYwBoAG8AcgBfAGMAbABhAHMAcwAsACAASQBGACgASQBTAE8ATQBJAFQAVABFAEQAKABhAG4AYwBoAG8AcgBfAGMAbABhAHMAcwApACwAIABcACIAJABcACIALAAgAFUAUABQAEUAUgAoAGEAbgBjAGgAbwByAF8AYwBsAGEAcwBzACkAKQAsAFwAbgAgACAAIAAgACAAIAAgACAAYQBuAGMAaABvAHIAXwBjAG8AdQBuAHQALAAgAEkARgAoAEkAUwBPAE0ASQBUAFQARQBEACgAYQBuAGMAaABvAHIAXwBjAG8AdQBuAHQAKQAsACAAMQAsACAAYQBuAGMAaABvAHIAXwBjAG8AdQBuAHQAKQAsAFwAbgAgACAAIAAgACAAIAAgACAAZABlAGMAaQBtAGEAbABfAHAAbABhAGMAZQBzACwAIABJAEYAKABJAFMATwBNAEkAVABUAEUARAAoAGQAZQBjAGkAbQBhAGwAXwBwAGwAYQBjAGUAcwApACwAIAAzACwAIABkAGUAYwBpAG0AYQBsAF8AcABsAGEAYwBlAHMAKQAsAFwAbgAgACAAIAAgACAAIAAgACAAXABuACAAIAAgACAAIAAgACAAIAAvAC8AIAA9AD0APQAgAFMAcABlAGMAdAByAGEAbAAgAGMAbABhAHMAcwAgAGEAcgByAGEAeQAgAGEAbgBkACAAYgBhAHMAZQAgAGYAcgBlAHEAdQBlAG4AYwBpAGUAcwAgACgAZQBtAHAAaQByAGkAYwBhAGwAKQAgAD0APQA9AFwAbgAgACAAIAAgACAAIAAgACAAYQByAHIAXwBjAGwAYQBzAHMAZQBzACwAIAB7AFwAIgBPAFwAIgA7ACAAXAAiAEIAXAAiADsAIABcACIAQQBcACIAOwAgAFwAIgBGAFwAIgA7ACAAXAAiAEcAXAAiADsAIABcACIASwBcACIAOwAgAFwAIgBNAFwAIgB9ACwAXABuACAAIAAgACAAIAAgACAAIABhAHIAcgBfAGIAYQBzAGUAXwBwAGMAdAAsACAAewAwAC4AMAAwADAAMAAzADsAIAAwAC4AMQAzADsAIAAwAC4ANgA7ACAAMwA7ACAANwAuADYAOwAgADEAMgAuADEAOwAgADcANgAuADIANwB9ACwAXABuACAAIAAgACAAIAAgACAAIABhAHIAcgBfAGIAYQBzAGUAXwBmAHIAYQBjACwAIABCAFkAUgBPAFcAKABhAHIAcgBfAGIAYQBzAGUAXwBwAGMAdAAsACAATABBAE0AQgBEAEEAKAB4ACwAIAB4ACAALwAgADEAMAAwACkAKQAsAFwAbgAgACAAIAAgACAAIAAgACAAXABuACAAIAAgACAAIAAgACAAIAAvAC8AIAA9AD0APQAgAEwAbwBvAGsAdQBwACAAcwBjAGEAbABpAG4AZwAgAGYAYQBjAHQAbwByACAAZgBvAHIAIABhACAAcwBwAGUAYwBpAGYAaQBjACAAYQBuAGMAaABvAHIAIAB0AHkAcABlAFwAbgAgACAAIAAgACAAIAAgACAAYQBuAGMAaABvAHIAXwBmAHIAZQBxACwAIABYAEwATwBPAEsAVQBQACgAYQBuAGMAaABvAHIAXwBjAGwAYQBzAHMALAAgAGEAcgByAF8AYwBsAGEAcwBzAGUAcwAsACAAYQByAHIAXwBiAGEAcwBlAF8AZgByAGEAYwAsACAAMQApACwAXABuACAAIAAgACAAIAAgACAAIABzAGMAYQBsAGkAbgBnAF8AZgBhAGMAdABvAHIALAAgAGEAbgBjAGgAbwByAF8AYwBvAHUAbgB0ACAALwAgAGEAbgBjAGgAbwByAF8AZgByAGUAcQAsAFwAbgAgACAAIAAgACAAIAAgACAAXABuACAAIAAgACAAIAAgACAAIAAvAC8AIAA9AD0APQAgAFMAYwBhAGwAZQBkACAAZABpAHMAdAByAGkAYgB1AHQAaQBvAG4AIAAUICAAbgBvAHIAbQBhAGwAaQB6AGUAIABvAHIAIABhAHAAcABsAHkAIAB1AHMAZQByAC0AZABlAGYAaQBuAGUAZAAgAHMAYwBhAGwAZQBcAG4AIAAgACAAIAAgACAAIAAgAHMAYwBhAGwAZQBkACwAIABJAEYAKABcAG4AIAAgACAAIAAgACAAIAAgACAAIAAgACAAYQBuAGMAaABvAHIAXwBjAGwAYQBzAHMAIAA9ACAAXAAiACQAXAAiACwAXABuACAAIAAgACAAIAAgACAAIAAgACAAIAAgAGEAcgByAF8AYgBhAHMAZQBfAGYAcgBhAGMALABcAG4AIAAgACAAIAAgACAAIAAgACAAIAAgACAAQgBZAFIATwBXACgAYQByAHIAXwBiAGEAcwBlAF8AZgByAGEAYwAsACAATABBAE0AQgBEAEEAKAB4ACwAIAB4ACAAKgAgAHMAYwBhAGwAaQBuAGcAXwBmAGEAYwB0AG8AcgApACkAXABuACAAIAAgACAAIAAgACAAIAApACwAXABuACAAIAAgACAAIAAgACAAIABcAG4AIAAgACAAIAAgACAAIAAgAC8ALwAgAD0APQA9ACAARgBpAG4AYQBsACAAbwB1AHQAcAB1AHQAXABuACAAIAAgACAAIAAgACAAIABvAHUAdABwAHUAdAAsACAASABTAFQAQQBDAEsAKABhAHIAcgBfAGMAbABhAHMAcwBlAHMALAAgAFIATwBVAE4ARAAoAHMAYwBhAGwAZQBkACwAIABkAGUAYwBpAG0AYQBsAF8AcABsAGEAYwBlAHMAKQApACwAXABuACAAIAAgACAAIAAgACAAIABvAHUAdABwAHUAdABcAG4AIAAgACAAIAApAFwAbgApADsAXABuAFwAbgAvACoAIABBAFMAVABSAE8AXwBDAEEATABDAF8AVABFAE0AUAA6AFwAbgAgACAAIABQAHUAcgBwAG8AcwBlADoAIABSAGUAdAB1AHIAbgBzACAAdABoAGUAIABpAG4AdABlAHIAcABvAGwAYQB0AGUAZAAgAGUAZgBmAGUAYwB0AGkAdgBlACAAdABlAG0AcABlAHIAYQB0AHUAcgBlACAAKABpAG4AIABLAGUAbAB2AGkAbgApACAAZgBvAHIAIABhACAAZwBpAHYAZQBuACAAcwB0AGUAbABsAGEAcgAgAHMAdQBiAGMAbABhAHMAcwBcAG4AIAAgACAAIAAgACAAIAAgACAAIAAgACAAKABlAC4AZwAuACAAXAAiAEcANwAuADMAXAAiACkALAAgAHUAcwBpAG4AZwAgAGgAYQByAGQAYwBvAGQAZQBkACAAaABpAGcAaAAtAHQAZQBtAHAAZQByAGEAdAB1AHIAZQAgAGEAbgBjAGgAbwByAHMAIABhAG4AZAAgAHMAcABhAG4AIAB2AGEAbAB1AGUAcwAgAGIAZQB0AHcAZQBlAG4AIABzAHUAYgBjAGwAYQBzAHMAZQBzAC4AXABuAFwAbgAgACAAIABSAGUAdAB1AHIAbgBzADoAIABBACAAbgB1AG0AZQByAGkAYwAgAHQAZQBtAHAAZQByAGEAdAB1AHIAZQAgAGkAbgAgAEsAZQBsAHYAaQBuACwAIABpAG4AdABlAHIAcABvAGwAYQB0AGUAZAAgAHUAcwBpAG4AZwAgAGwAaQBuAGUAYQByACAAcwBjAGEAbABpAG4AZwAgAHcAaQB0AGgAaQBuACAAdABoAGUAIABzAHAAZQBjAGkAZgBpAGUAZAAgAHMAdQBiAGMAbABhAHMAcwAuAFwAbgBcAG4AIAAgACAAUABhAHIAYQBtAGUAdABlAHIAcwA6AFwAbgAgACAAIAAtACAAcwB1AGIAYwBsAGEAcwBzACAAKAByAGUAcQB1AGkAcgBlAGQAKQA6ACAAQQAgAHMAdAByAGkAbgBnACAAcgBlAHAAcgBlAHMAZQBuAHQAaQBuAGcAIABhACAAcwBwAGUAYwB0AHIAYQBsACAAcwB1AGIAYwBsAGEAcwBzAC4AIABBAGMAYwBlAHAAdABzACAAZgBvAHIAbQBhAHQAcwAgAGwAaQBrAGUAIABcACIARgA1AFwAIgAsACAAXAAiAEsAMgAuADYAXAAiACwAIABcACIATQA4AC4AOQBcACIALAAgAGUAdABjAC4AXABuAFwAbgAgACAAIABOAG8AdABlAHMAOgBcAG4AIAAgACAALQAgAFQAZQBtAHAAZQByAGEAdAB1AHIAZQAgAGQAYQB0AGEAIABpAHMAIABiAGEAcwBlAGQAIABvAG4AIABlAG0AcABpAHIAaQBjAGEAbAAgAHMAdQBiAGMAbABhAHMAcwAgAGEAbgBjAGgAbwByAHMAIABmAG8AcgAgAHQAeQBwAGUAcwAgAE8AMwAgAHQAaAByAG8AdQBnAGgAIABNADkALgBcAG4AIAAgACAALQAgAFQAaABlACAAZgB1AG4AYwB0AGkAbwBuACAAcwB1AHAAcABvAHIAdABzACAAZgByAGEAYwB0AGkAbwBuAGEAbAAgAHMAdQBiAGMAbABhAHMAcwAgAGkAbgBwAHUAdAAgAGEAbgBkACAAYQBzAHMAdQBtAGUAcwAgAGwAaQBuAGUAYQByACAAZgBhAGwAbABvAGYAZgAgAGIAZQB0AHcAZQBlAG4AIABzAHUAYgBjAGwAYQBzAHMAIAB0AGUAbQBwAGUAcgBhAHQAdQByAGUAIABhAG4AYwBoAG8AcgBzAC4AXABuACAAIAAgAC0AIABUAGgAZQAgAGgAaQBnAGgAIAB0AGUAbQBwAGUAcgBhAHQAdQByAGUAIAAoAGAAVABfAGgAaQBnAGgAYAApACAAaQBzACAAcgBlAHQAcgBpAGUAdgBlAGQAIABmAG8AcgAgAHQAaABlACAAYgBhAHMAZQAgAHMAdQBiAGMAbABhAHMAcwAgACgAZQAuAGcALgAsACAAXAAiAEcANwBcACIAKQAsACAAYQBuAGQAIABpAG4AdABlAHIAcABvAGwAYQB0AGkAbwBuACAAdQBzAGUAcwA6AFwAbgAgACAAIAAgACAAIAAgAFQAIAA9ACAAVABfAGgAaQBnAGgAIAAtACAAKABmAHIAYQBjAHQAaQBvAG4AIAAqACAAcwBwAGEAbgApAFwAbgAgACAAIAAtACAASABhAG4AZABsAGUAcwAgAGkAbgBwAHUAdABzACAAdwBpAHQAaAAgAG8AcgAgAHcAaQB0AGgAbwB1AHQAIABhACAAZABlAGMAaQBtAGEAbAAgAHAAbwBpAG4AdAAgACgAZQAuAGcALgAsACAAXAAiAEYANgBcACIAIAA9ACAAXAAiAEYANgAuADAAXAAiACkALgBcAG4AIAAgACAALQAgAEkAbgB0AGUAcgBuAGEAbABsAHkAIAB1AHMAZQBzACAAWABMAE8ATwBLAFUAUAAgAG8AdgBlAHIAIABhACAAbQBhAHQAcgBpAHgAIABiAHUAaQBsAHQAIABmAHIAbwBtACAAaABhAHIAZABjAG8AZABlAGQAIABzAHUAYgBjAGwAYQBzAHMAIABsAGEAYgBlAGwAcwAsACAAdABlAG0AcABlAHIAYQB0AHUAcgBlAHMALAAgAGEAbgBkACAAcwBwAGEAbgBzAC4AXABuAFwAbgAgACAAIABFAHgAYQBtAHAAbABlADoAXABuACAAIAAgAEEAUwBUAFIATwBfAEMAQQBMAEMAXwBUAEUATQBQACgAXAAiAEcANwAuADMAXAAiACkAIAAgACAAkiEgADUANQAyADkAXABuACAAIAAgAEEAUwBUAFIATwBfAEMAQQBMAEMAXwBUAEUATQBQACgAXAAiAE8ANAAuADQAXAAiACkAIAAgACAAkiEgADQAMgAzADAAMABcAG4AIAAgACAAQQBTAFQAUgBPAF8AQwBBAEwAQwBfAFQARQBNAFAAKABcACIARgA4AC4ANAA1AFwAIgApACAAIACSISAANgAxADIAMQAuADUAXABuACAAIAAgAEEAUwBUAFIATwBfAEMAQQBMAEMAXwBUAEUATQBQACgAXAAiAE0AOAAuADYAXAAiACkAIAAgACAAkiEgADIANAA1ADYAXABuACoALwBcAG4AQQBTAFQAUgBPAF8AQwBBAEwAQwBfAFQARQBNAFAAIAA9ACAATABBAE0AQgBEAEEAKABzAHUAYgBjAGwAYQBzAHMALABcAG4AIAAgACAAIABMAEUAVAAoAFwAbgAgACAAIAAgACAAIAAgACAALwAvACAALQAtAC0AIABIAGEAcgBkAGMAbwBkAGUAZAAgAHMAcABlAGMAdAByAGEAbAAgAHMAdQBiAGMAbABhAHMAcwAgAGEAcgByAGEAeQBz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XABuACAAIAAgACAAIAAgACAAIAAvAC8AIABIAGkAZwBoACAAZQBmAGYAZQBjAHQAaQB2AGUAIAB0AGUAbQBwAGUAcgBhAHQAdQByAGUAcwAgACgASwApACAAZgBvAHIAIABlAGEAYwBoACAAcwB1AGIAYwBsAGEAcwBz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FwAbgAgACAAIAAgACAAIAAgACAALwAvACAAVABlAG0AcABlAHIAYQB0AHUAcgBlACAAcwBwAGEAbgAgAHQAbwAgAHQAaABlACAAbgBlAHgAdAAgAHMAdQBiAGMAbABhAHMAcwAgACgASwApAFwAbgAgACAAIAAgACAAIAAgACAAYQByAHIAUwBwAGEAbgAsACAAe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EIAdQBuAGQAbABlACAAaQBuAHQAbwAgAGEAIABzAGkAbgBnAGwAZQAgAG0AYQB0AHIAaQB4ACAAZgBvAHIAIABjAGwAZQBhAG4AIABsAG8AbwBrAHUAcABcAG4AIAAgACAAIAAgACAAIAAgAG0AdAB4AFMAdABhAHIAcwAsACAASABTAFQAQQBDAEsAKABhAHIAcgBUAHkAcABlAHMALAAgAGEAcgByAFQASABpAGcAaAAsACAAYQByAHIAUwBwAGEAbgApACwAXABuACAAIAAgACAAIAAgACAAIABcAG4AIAAgACAAIAAgACAAIAAgAC8ALwAgAC0ALQAtACAASQBuAHAAdQB0ACAAbgBvAHIAbQBhAGwAaQB6AGEAdABpAG8AbgAgAGEAbgBkACAAcABhAHIAcwBpAG4AZwAgAC0ALQAtAFwAbgAgACAAIAAgACAAIAAgACAAbgBvAF8AcwBwAGEAYwBlACwAIABTAFUAQgBTAFQASQBUAFUAVABFACgAcwB1AGIAYwBsAGEAcwBzACwAIABcACIAIABcACIALAAgAFwAIgBcACIAKQAsACAALwAvACAAVAByAGkAbQAgAHcAaABpAHQAZQBzAHAAYQBjAGUAXABuACAAIAAgACAAIAAgACAAIABkAG8AdABfAHAAbwBzACwAIABGAEkATgBEACgAXAAiAC4AXAAiACwAIABuAG8AXwBzAHAAYQBjAGUAIAAmACAAXAAiAC4AMABcACIAKQAsACAALwAvACAARQBuAHMAdQByAGUAIABmAHIAYQBjAHQAaQBvAG4AYQBsACAAcABhAHIAdAAgAGkAcwAgAGQAZQB0AGUAYwB0AGUAZAAgAGUAdgBlAG4AIABmAG8AcgAgAHcAaABvAGwAZQAgAHMAdQBiAGMAbABhAHMAcwBlAHMAXABuACAAIAAgACAAIAAgACAAIABiAGEAcwBlACwAIABMAEUARgBUACgAbgBvAF8AcwBwAGEAYwBlACwAIABkAG8AdABfAHAAbwBzACAALQAgADEAKQAsACAALwAvACAARQB4AHQAcgBhAGMAdAAgAHIAbwBvAHQAIABzAHUAYgBjAGwAYQBzAHMALAAgAGUALgBnAC4ALAAgAFwAIgBHADcAXAAiACAAZgByAG8AbQAgAFwAIgBHADcALgAzAFwAIgBcAG4AIAAgACAAIAAgACAAIAAgAGYALAAgAFYAQQBMAFUARQAoAFwAIgAwAC4AXAAiACAAJgAgAE0ASQBEACgAbgBvAF8AcwBwAGEAYwBlACwAIABkAG8AdABfAHAAbwBzACAAKwAgADEALAAgAEwARQBOACgAbgBvAF8AcwBwAGEAYwBlACkAKQApACwAIAAvAC8AIABDAG8AbgB2AGUAcgB0ACAAZABlAGMAaQBtAGEAbAAgAHMAdAByAGkAbgBnACAAdABvACAAbgB1AG0AZQByAGkAYwAgACgAZQAuAGcALgAsACAAMAAuADMAKQBcAG4AIAAgACAAIAAgACAAIAAgAFwAbgAgACAAIAAgACAAIAAgACAALwAvACAALQAtAC0AIABMAG8AbwBrAHUAcAAgAGgAaQBnAGgAIAB0AGUAbQBwACAAYQBuAGQAIABzAHAAYQBuACAAZgByAG8AbQAgAG0AYQB0AHIAaQB4ACAALQAtAC0AXABuACAAIAAgACAAIAAgACAAIABUAF8AaABpAGcAaAAsACAAWABMAE8ATwBLAFUAUAAoAGIAYQBzAGUALAAgAEkATgBEAEUAWAAoAG0AdAB4AFMAdABhAHIAcwAsACAALAAgADEAKQAsACAASQBOAEQARQBYACgAbQB0AHgAUwB0AGEAcgBzACwAIAAsACAAMgApACkALAAgAC8ALwAgAGUALgBnAC4AIAA1ADUANQAwACAAZgBvAHIAIABcACIARwA3AFwAIgBcAG4AIAAgACAAIAAgACAAIAAgAHMAcABhAG4ALAAgAFgATABPAE8ASwBVAFAAKABiAGEAcwBlACwAIABJAE4ARABFAFgAKABtAHQAeABTAHQAYQByAHMALAAgACwAIAAxACkALAAgAEkATgBEAEUAWAAoAG0AdAB4AFMAdABhAHIAcwAsACAALAAgADMAKQApACwAIAAvAC8AIABlAC4AZwAuACAANwAwACAAZgBvAHIAIABcACIARwA3AFwAIgBcAG4AIAAgACAAIAAgACAAIAAgAFwAbgAgACAAIAAgACAAIAAgACAALwAvACAALQAtAC0AIABJAG4AdABlAHIAcABvAGwAYQB0AGkAbwBuADoAIABUACAAPQAgAFQAXwBoAGkAZwBoACAALQAgAGYAIAAqACAAcwBwAGEAbgAgAC0ALQAtAFwAbgAgACAAIAAgACAAIAAgACAAcgBlAHMAdQBsAHQALAAgAFQAXwBoAGkAZwBoACAALQAgACgAZgAgACoAIABzAHAAYQBuACkALABcAG4AIAAgACAAIAAgACAAIAAgAHIAZQBzAHUAbAB0AFwAbgAgACAAIAAgACkAXABuACkAOwBcAG4AXABuAC8AKgAgAEEAUwBUAFIATwBfAFQAWQBQAEUAXwBGAFIATwBNAF8AVABFAE0AUAA6AFwAbgAgACAAIABQAHUAcgBwAG8AcwBlADoAIABSAGUAdAB1AHIAbgBzACAAdABoAGUAIABpAG4AdABlAHIAcABvAGwAYQB0AGUAZAAgAHMAdABlAGwAbABhAHIAIABzAHAAZQBjAHQAcgBhAGwAIABzAHUAYgBjAGwAYQBzAHMAIAAoAGUALgBnAC4AIABcACIARwA3AC4AMwBcACIAKQAgAGYAbwByACAAYQAgAGcAaQB2AGUAbgAgAGUAZgBmAGUAYwB0AGkAdgBlACAAdABlAG0AcABlAHIAYQB0AHUAcgBlACAAaQBuACAASwBlAGwAdgBpAG4ALgBcAG4AXABuACAAIAAgAFIAZQB0AHUAcgBuAHMAOgAgAEEAIABzAHQAcgBpAG4AZwAgAHIAZQBwAHIAZQBzAGUAbgB0AGkAbgBnACAAdABoAGUAIABlAHMAdABpAG0AYQB0AGUAZAAgAHMAcABlAGMAdAByAGEAbAAgAHMAdQBiAGMAbABhAHMAcwAsACAAbwBwAHQAaQBvAG4AYQBsAGwAeQAgAHcAaQB0AGgAIABkAGUAYwBpAG0AYQBsACAAcAByAGUAYwBpAHMAaQBvAG4ALgBcAG4AXABuACAAIAAgAFAAYQByAGEAbQBlAHQAZQByAHMAOgBcAG4AIAAgACAALQAgAHQAZQBtAHAAIAAoAHIAZQBxAHUAaQByAGUAZAApADoAIABBACAAbgB1AG0AZQByAGkAYwAgAHQAZQBtAHAAZQByAGEAdAB1AHIAZQAgAGkAbgAgAEsAZQBsAHYAaQBuAC4AXABuACAAIAAgAC0AIABkAGUAYwBpAG0AYQBsAHMAIAAoAG8AcAB0AGkAbwBuAGEAbAApADoAIABOAHUAbQBiAGUAcgAgAG8AZgAgAGQAZQBjAGkAbQBhAGwAIABwAGwAYQBjAGUAcwAgAHQAbwAgAGkAbgBjAGwAdQBkAGUAIABpAG4AIAB0AGgAZQAgAHMAdQBiAGMAbABhAHMAcwAgACgAZABlAGYAYQB1AGwAdAAgAD0AIAAzACkALgBcAG4AXABuACAAIAAgAE4AbwB0AGUAcwA6AFwAbgAgACAAIAAtACAAVABoAGUAIABmAHUAbgBjAHQAaQBvAG4AIABtAGEAdABjAGgAZQBzACAAdABoAGUAIAB0AGUAbQBwAGUAcgBhAHQAdQByAGUAIAB0AG8AIAB0AGgAZQAgAGMAbwByAHIAZQBjAHQAIABzAHAAZQBjAHQAcgBhAGwAIABzAHUAYgBjAGwAYQBzAHMAIAByAGEAbgBnAGUAIABiAHkAIABjAGgAZQBjAGsAaQBuAGcAIAB3AGgAaQBjAGgAIABoAGkAZwBoAC0AdABlAG0AcAAgAGIAYQBuAGQAIABpAHQAIABmAGEAbABsAHMAIAB3AGkAdABoAGkAbgAuAFwAbgAgACAAIAAtACAASQB0ACAAdABoAGUAbgAgAGwAaQBuAGUAYQByAGwAeQAgAGkAbgB0AGUAcgBwAG8AbABhAHQAZQBzACAAdABoAGUAIABkAGUAYwBpAG0AYQBsACAAcABvAHIAdABpAG8AbgAgAG8AZgAgAHQAaABlACAAcwB1AGIAYwBsAGEAcwBzACAAdQBzAGkAbgBnADoAXABuACAAIAAgACAAIAAgACAAZgByAGEAYwB0AGkAbwBuAGEAbAAgAD0AIAAoAFQAXwBoAGkAZwBoACAALQAgAHQAZQBtAHAAKQAgAC8AIABzAHAAYQBuAFwAbgAgACAAIAAtACAAVQBzAGUAcwAgAGgAYQByAGQAYwBvAGQAZQBkACAAdABlAG0AcABlAHIAYQB0AHUAcgBlACAAYQBuAGMAaABvAHIAcwAgAGEAbgBkACAAcwBwAGEAbgBzACAAYQBjAHIAbwBzAHMAIABzAHAAZQBjAHQAcgBhAGwAIAB0AHkAcABlAHMAIABPADMAEyBNADkALgBcAG4AIAAgACAALQAgAFMAdQBwAHAAbwByAHQAcwAgAGgAaQBnAGgAIABwAHIAZQBjAGkAcwBpAG8AbgAgAGEAbgBkACAAbgBvAHIAbQBhAGwAaQB6AGEAdABpAG8AbgAgAGYAbwByACAAZgByAGEAYwB0AGkAbwBuAGEAbAAgAHMAdQBiAGMAbABhAHMAcwBlAHMAIABsAGkAawBlACAAXAAiAEsANAAuADMANwA2AFwAIgAuAFwAbgBcAG4AIAAgACAARQB4AGEAbQBwAGwAZQA6AFwAbgAgACAAIABBAFMAVABSAE8AXwBUAFkAUABFAF8ARgBSAE8ATQBfAFQARQBNAFAAKAA0ADIAMwAwADAAKQAgACAAIACSISAAXAAiAE8ANAAuADQAMAAwAFwAIgBcAG4AIAAgACAAQQBTAFQAUgBPAF8AVABZAFAARQBfAEYAUgBPAE0AXwBUAEUATQBQACgANQA1ADIAOQApACAAIAAgACAAkiEgAFwAIgBHADcALgAzADAAMABcACIAXABuACAAIAAgAEEAUwBUAFIATwBfAFQAWQBQAEUAXwBGAFIATwBNAF8AVABFAE0AUAAoADYAMQAyADEALgA1ACkAIAAgAJIhIABcACIARgA4AC4ANAA1ADAAXAAiAFwAbgAgACAAIABBAFMAVABSAE8AXwBUAFkAUABFAF8ARgBSAE8ATQBfAFQARQBNAFAAKAAyADQANQA2ACwAIAAxACkAIACSISAAXAAiAE0AOAAuADYAXAAiAFwAbgBcAG4AIAAgACAARABlAHAAZQBuAGQAZQBuAGMAaQBlAHMAOgBcAG4AIAAgACAALQAgAFUAcwBlAHMAIABYAE0AQQBUAEMASAAgACsAIABNAEEAUAAgAGYAbwByACAAbABvAGcAaQBjAGEAbAAgAHIAYQBuAGcAZQAgAGQAZQB0AGUAYwB0AGkAbwBuAC4AXABuACAAIAAgAC0AIABBAHMAcwB1AG0AZQBzACAAdABlAG0AcABlAHIAYQB0AHUAcgBlACAAZABlAGMAcgBlAGEAcwBlAHMAIABtAG8AbgBvAHQAbwBuAGkAYwBhAGwAbAB5ACAAYQBjAHIAbwBzAHMAIABzAHUAYgBjAGwAYQBzAHMAIABzAGUAcQB1AGUAbgBjAGUALgBcAG4AKgAvAFwAbgBBAFMAVABSAE8AXwBUAFkAUABFAF8ARgBSAE8ATQBfAFQARQBNAFAAIAA9ACAATABBAE0AQgBEAEEAKAB0AGUAbQBwACwAIABbAGQAZQBjAGkAbQBhAGwAcwBdACwAXABuACAAIAAgACAATABFAFQAKABcAG4AIAAgACAAIAAgACAAIAAgAC8ALwAgAC0ALQAtACAASABhAHIAZABjAG8AZABlAGQAIABzAHAAZQBjAHQAcgBhAGwAIABzAHUAYgBjAGwAYQBzAHMAIABkAGEAdABhACAALQAtAC0AXABuACAAIAAgACAAIAAgACAAIABhAHIAcgBUAHkAcABlAHMALAAgAHsAXABuACAAIAAgACAAIAAgACAAIAAgACAAIAAgAFwAIgBPADMAXAAiADsAXABuACAAIAAgACAAIAAgACAAIAAgACAAIAAgAFwAIgBPADQAXAAiADsAXABuACAAIAAgACAAIAAgACAAIAAgACAAIAAgAFwAIgBPADUAXAAiADsAXABuACAAIAAgACAAIAAgACAAIAAgACAAIAAgAFwAIgBPADYAXAAiADsAXABuACAAIAAgACAAIAAgACAAIAAgACAAIAAgAFwAIgBPADcAXAAiADsAXABuACAAIAAgACAAIAAgACAAIAAgACAAIAAgAFwAIgBPADgAXAAiADsAXABuACAAIAAgACAAIAAgACAAIAAgACAAIAAgAFwAIgBPADkAXAAiADsAXABuACAAIAAgACAAIAAgACAAIAAgACAAIAAgAFwAIgBCADAAXAAiADsAXABuACAAIAAgACAAIAAgACAAIAAgACAAIAAgAFwAIgBCADEAXAAiADsAXABuACAAIAAgACAAIAAgACAAIAAgACAAIAAgAFwAIgBCADIAXAAiADsAXABuACAAIAAgACAAIAAgACAAIAAgACAAIAAgAFwAIgBCADMAXAAiADsAXABuACAAIAAgACAAIAAgACAAIAAgACAAIAAgAFwAIgBCADQAXAAiADsAXABuACAAIAAgACAAIAAgACAAIAAgACAAIAAgAFwAIgBCADUAXAAiADsAXABuACAAIAAgACAAIAAgACAAIAAgACAAIAAgAFwAIgBCADYAXAAiADsAXABuACAAIAAgACAAIAAgACAAIAAgACAAIAAgAFwAIgBCADcAXAAiADsAXABuACAAIAAgACAAIAAgACAAIAAgACAAIAAgAFwAIgBCADgAXAAiADsAXABuACAAIAAgACAAIAAgACAAIAAgACAAIAAgAFwAIgBCADkAXAAiADsAXABuACAAIAAgACAAIAAgACAAIAAgACAAIAAgAFwAIgBBADAAXAAiADsAXABuACAAIAAgACAAIAAgACAAIAAgACAAIAAgAFwAIgBBADEAXAAiADsAXABuACAAIAAgACAAIAAgACAAIAAgACAAIAAgAFwAIgBBADIAXAAiADsAXABuACAAIAAgACAAIAAgACAAIAAgACAAIAAgAFwAIgBBADMAXAAiADsAXABuACAAIAAgACAAIAAgACAAIAAgACAAIAAgAFwAIgBBADQAXAAiADsAXABuACAAIAAgACAAIAAgACAAIAAgACAAIAAgAFwAIgBBADUAXAAiADsAXABuACAAIAAgACAAIAAgACAAIAAgACAAIAAgAFwAIgBBADYAXAAiADsAXABuACAAIAAgACAAIAAgACAAIAAgACAAIAAgAFwAIgBBADcAXAAiADsAXABuACAAIAAgACAAIAAgACAAIAAgACAAIAAgAFwAIgBBADgAXAAiADsAXABuACAAIAAgACAAIAAgACAAIAAgACAAIAAgAFwAIgBBADkAXAAiADsAXABuACAAIAAgACAAIAAgACAAIAAgACAAIAAgAFwAIgBGADAAXAAiADsAXABuACAAIAAgACAAIAAgACAAIAAgACAAIAAgAFwAIgBGADEAXAAiADsAXABuACAAIAAgACAAIAAgACAAIAAgACAAIAAgAFwAIgBGADIAXAAiADsAXABuACAAIAAgACAAIAAgACAAIAAgACAAIAAgAFwAIgBGADMAXAAiADsAXABuACAAIAAgACAAIAAgACAAIAAgACAAIAAgAFwAIgBGADQAXAAiADsAXABuACAAIAAgACAAIAAgACAAIAAgACAAIAAgAFwAIgBGADUAXAAiADsAXABuACAAIAAgACAAIAAgACAAIAAgACAAIAAgAFwAIgBGADYAXAAiADsAXABuACAAIAAgACAAIAAgACAAIAAgACAAIAAgAFwAIgBGADcAXAAiADsAXABuACAAIAAgACAAIAAgACAAIAAgACAAIAAgAFwAIgBGADgAXAAiADsAXABuACAAIAAgACAAIAAgACAAIAAgACAAIAAgAFwAIgBGADkAXAAiADsAXABuACAAIAAgACAAIAAgACAAIAAgACAAIAAgAFwAIgBHADAAXAAiADsAXABuACAAIAAgACAAIAAgACAAIAAgACAAIAAgAFwAIgBHADEAXAAiADsAXABuACAAIAAgACAAIAAgACAAIAAgACAAIAAgAFwAIgBHADIAXAAiADsAXABuACAAIAAgACAAIAAgACAAIAAgACAAIAAgAFwAIgBHADMAXAAiADsAXABuACAAIAAgACAAIAAgACAAIAAgACAAIAAgAFwAIgBHADQAXAAiADsAXABuACAAIAAgACAAIAAgACAAIAAgACAAIAAgAFwAIgBHADUAXAAiADsAXABuACAAIAAgACAAIAAgACAAIAAgACAAIAAgAFwAIgBHADYAXAAiADsAXABuACAAIAAgACAAIAAgACAAIAAgACAAIAAgAFwAIgBHADcAXAAiADsAXABuACAAIAAgACAAIAAgACAAIAAgACAAIAAgAFwAIgBHADgAXAAiADsAXABuACAAIAAgACAAIAAgACAAIAAgACAAIAAgAFwAIgBHADkAXAAiADsAXABuACAAIAAgACAAIAAgACAAIAAgACAAIAAgAFwAIgBLADAAXAAiADsAXABuACAAIAAgACAAIAAgACAAIAAgACAAIAAgAFwAIgBLADEAXAAiADsAXABuACAAIAAgACAAIAAgACAAIAAgACAAIAAgAFwAIgBLADIAXAAiADsAXABuACAAIAAgACAAIAAgACAAIAAgACAAIAAgAFwAIgBLADMAXAAiADsAXABuACAAIAAgACAAIAAgACAAIAAgACAAIAAgAFwAIgBLADQAXAAiADsAXABuACAAIAAgACAAIAAgACAAIAAgACAAIAAgAFwAIgBLADUAXAAiADsAXABuACAAIAAgACAAIAAgACAAIAAgACAAIAAgAFwAIgBLADYAXAAiADsAXABuACAAIAAgACAAIAAgACAAIAAgACAAIAAgAFwAIgBLADcAXAAiADsAXABuACAAIAAgACAAIAAgACAAIAAgACAAIAAgAFwAIgBLADgAXAAiADsAXABuACAAIAAgACAAIAAgACAAIAAgACAAIAAgAFwAIgBLADkAXAAiADsAXABuACAAIAAgACAAIAAgACAAIAAgACAAIAAgAFwAIgBNADAAXAAiADsAXABuACAAIAAgACAAIAAgACAAIAAgACAAIAAgAFwAIgBNADEAXAAiADsAXABuACAAIAAgACAAIAAgACAAIAAgACAAIAAgAFwAIgBNADIAXAAiADsAXABuACAAIAAgACAAIAAgACAAIAAgACAAIAAgAFwAIgBNADMAXAAiADsAXABuACAAIAAgACAAIAAgACAAIAAgACAAIAAgAFwAIgBNADQAXAAiADsAXABuACAAIAAgACAAIAAgACAAIAAgACAAIAAgAFwAIgBNADUAXAAiADsAXABuACAAIAAgACAAIAAgACAAIAAgACAAIAAgAFwAIgBNADYAXAAiADsAXABuACAAIAAgACAAIAAgACAAIAAgACAAIAAgAFwAIgBNADcAXAAiADsAXABuACAAIAAgACAAIAAgACAAIAAgACAAIAAgAFwAIgBNADgAXAAiADsAXABuACAAIAAgACAAIAAgACAAIAAgACAAIAAgAFwAIgBNADkAXAAiAFwAbgAgACAAIAAgACAAIAAgACAAfQAsAFwAbgAgACAAIAAgACAAIAAgACAAYQByAHIAVABIAGkAZwBoACwAIAB7AFwAbgAgACAAIAAgACAAIAAgACAAIAAgACAAIAA0ADQAOQAwADAAOwBcAG4AIAAgACAAIAAgACAAIAAgACAAIAAgACAANAAyADkAMAAwADsAXABuACAAIAAgACAAIAAgACAAIAAgACAAIAAgADQAMQA0ADAAMAA7AFwAbgAgACAAIAAgACAAIAAgACAAIAAgACAAIAAzADkANQAwADAAOwBcAG4AIAAgACAAIAAgACAAIAAgACAAIAAgACAAMwA3ADEAMAAwADsAXABuACAAIAAgACAAIAAgACAAIAAgACAAIAAgADMANQAxADAAMAA7AFwAbgAgACAAIAAgACAAIAAgACAAIAAgACAAIAAzADMAMwAwADAAOwBcAG4AIAAgACAAIAAgACAAIAAgACAAIAAgACAAMwAxADQAMAAwADsAXABuACAAIAAgACAAIAAgACAAIAAgACAAIAAgADIANgAwADAAMAA7AFwAbgAgACAAIAAgACAAIAAgACAAIAAgACAAIAAyADAANgAwADAAOwBcAG4AIAAgACAAIAAgACAAIAAgACAAIAAgACAAMQA3ADAAMAAwADsAXABuACAAIAAgACAAIAAgACAAIAAgACAAIAAgADEANgA0ADAAMAA7AFwAbgAgACAAIAAgACAAIAAgACAAIAAgACAAIAAxADUANwAwADAAOwBcAG4AIAAgACAAIAAgACAAIAAgACAAIAAgACAAMQA0ADUAMAAwADsAXABuACAAIAAgACAAIAAgACAAIAAgACAAIAAgADEANAAwADAAMAA7AFwAbgAgACAAIAAgACAAIAAgACAAIAAgACAAIAAxADIAMwAwADAAOwBcAG4AIAAgACAAIAAgACAAIAAgACAAIAAgACAAMQAwADcAMAAwADsAXABuACAAIAAgACAAIAAgACAAIAAgACAAIAAgADkANwAwADAAOwBcAG4AIAAgACAAIAAgACAAIAAgACAAIAAgACAAOQAzADAAMAA7AFwAbgAgACAAIAAgACAAIAAgACAAIAAgACAAIAA4ADgAMAAwADsAXABuACAAIAAgACAAIAAgACAAIAAgACAAIAAgADgANgAwADAAOwBcAG4AIAAgACAAIAAgACAAIAAgACAAIAAgACAAOAAyADUAMAA7AFwAbgAgACAAIAAgACAAIAAgACAAIAAgACAAIAA4ADEAMAAwADsAXABuACAAIAAgACAAIAAgACAAIAAgACAAIAAgADcAOQAxADAAOwBcAG4AIAAgACAAIAAgACAAIAAgACAAIAAgACAANwA3ADYAMAA7AFwAbgAgACAAIAAgACAAIAAgACAAIAAgACAAIAA3ADUAOQAwADsAXABuACAAIAAgACAAIAAgACAAIAAgACAAIAAgADcANAAwADAAOwBcAG4AIAAgACAAIAAgACAAIAAgACAAIAAgACAANwAyADIAMAA7AFwAbgAgACAAIAAgACAAIAAgACAAIAAgACAAIAA3ADAAMgAwADsAXABuACAAIAAgACAAIAAgACAAIAAgACAAIAAgADYAOAAyADAAOwBcAG4AIAAgACAAIAAgACAAIAAgACAAIAAgACAANgA3ADUAMAA7AFwAbgAgACAAIAAgACAAIAAgACAAIAAgACAAIAA2ADYANwAwADsAXABuACAAIAAgACAAIAAgACAAIAAgACAAIAAgADYANQA1ADAAOwBcAG4AIAAgACAAIAAgACAAIAAgACAAIAAgACAANgAzADUAMAA7AFwAbgAgACAAIAAgACAAIAAgACAAIAAgACAAIAA2ADIAOAAwADsAXABuACAAIAAgACAAIAAgACAAIAAgACAAIAAgADYAMQA4ADAAOwBcAG4AIAAgACAAIAAgACAAIAAgACAAIAAgACAANgAwADUAMAA7AFwAbgAgACAAIAAgACAAIAAgACAAIAAgACAAIAA1ADkAMwAwADsAXABuACAAIAAgACAAIAAgACAAIAAgACAAIAAgADUAOAA2ADAAOwBcAG4AIAAgACAAIAAgACAAIAAgACAAIAAgACAANQA3ADcAMAA7AFwAbgAgACAAIAAgACAAIAAgACAAIAAgACAAIAA1ADcAMgAwADsAXABuACAAIAAgACAAIAAgACAAIAAgACAAIAAgADUANgA4ADAAOwBcAG4AIAAgACAAIAAgACAAIAAgACAAIAAgACAANQA2ADYAMAA7AFwAbgAgACAAIAAgACAAIAAgACAAIAAgACAAIAA1ADYAMAAwADsAXABuACAAIAAgACAAIAAgACAAIAAgACAAIAAgADUANQA1ADAAOwBcAG4AIAAgACAAIAAgACAAIAAgACAAIAAgACAANQA0ADgAMAA7AFwAbgAgACAAIAAgACAAIAAgACAAIAAgACAAIAA1ADMAOAAwADsAXABuACAAIAAgACAAIAAgACAAIAAgACAAIAAgADUAMgA3ADAAOwBcAG4AIAAgACAAIAAgACAAIAAgACAAIAAgACAANQAxADcAMAA7AFwAbgAgACAAIAAgACAAIAAgACAAIAAgACAAIAA1ADEAMAAwADsAXABuACAAIAAgACAAIAAgACAAIAAgACAAIAAgADQAOAAzADAAOwBcAG4AIAAgACAAIAAgACAAIAAgACAAIAAgACAANAA2ADAAMAA7AFwAbgAgACAAIAAgACAAIAAgACAAIAAgACAAIAA0ADQANAAwADsAXABuACAAIAAgACAAIAAgACAAIAAgACAAIAAgADQAMwAwADAAOwBcAG4AIAAgACAAIAAgACAAIAAgACAAIAAgACAANAAxADAAMAA7AFwAbgAgACAAIAAgACAAIAAgACAAIAAgACAAIAAzADkAOQAwADsAXABuACAAIAAgACAAIAAgACAAIAAgACAAIAAgADMAOQAzADAAOwBcAG4AIAAgACAAIAAgACAAIAAgACAAIAAgACAAMwA4ADUAMAA7AFwAbgAgACAAIAAgACAAIAAgACAAIAAgACAAIAAzADYANgAwADsAXABuACAAIAAgACAAIAAgACAAIAAgACAAIAAgADMANQA2ADAAOwBcAG4AIAAgACAAIAAgACAAIAAgACAAIAAgACAAMwA0ADMAMAA7AFwAbgAgACAAIAAgACAAIAAgACAAIAAgACAAIAAzADIAMQAwADsAXABuACAAIAAgACAAIAAgACAAIAAgACAAIAAgADMAMAA2ADAAOwBcAG4AIAAgACAAIAAgACAAIAAgACAAIAAgACAAMgA4ADEAMAA7AFwAbgAgACAAIAAgACAAIAAgACAAIAAgACAAIAAyADYAOAAwADsAXABuACAAIAAgACAAIAAgACAAIAAgACAAIAAgADIANQA3ADAAOwBcAG4AIAAgACAAIAAgACAAIAAgACAAIAAgACAAMgAzADgAMABcAG4AIAAgACAAIAAgACAAIAAgAH0ALABcAG4AIAAgACAAIAAgACAAIAAgAGEAcgByAFMAcABhAG4ALAAgAHsAXABuACAAIAAgACAAIAAgACAAIAAgACAAIAAgADIAMAAwADAAOwBcAG4AIAAgACAAIAAgACAAIAAgACAAIAAgACAAMQA1ADAAMAA7AFwAbgAgACAAIAAgACAAIAAgACAAIAAgACAAIAAxADkAMAAwADsAXABuACAAIAAgACAAIAAgACAAIAAgACAAIAAgADIANAAwADAAOwBcAG4AIAAgACAAIAAgACAAIAAgACAAIAAgACAAMgAwADAAMAA7AFwAbgAgACAAIAAgACAAIAAgACAAIAAgACAAIAAxADgAMAAwADsAXABuACAAIAAgACAAIAAgACAAIAAgACAAIAAgADEAOQAwADAAOwBcAG4AIAAgACAAIAAgACAAIAAgACAAIAAgACAANQA0ADAAMAA7AFwAbgAgACAAIAAgACAAIAAgACAAIAAgACAAIAA1ADQAMAAwADsAXABuACAAIAAgACAAIAAgACAAIAAgACAAIAAgADMANgAwADAAOwBcAG4AIAAgACAAIAAgACAAIAAgACAAIAAgACAANgAwADAAOwBcAG4AIAAgACAAIAAgACAAIAAgACAAIAAgACAANwAwADAAOwBcAG4AIAAgACAAIAAgACAAIAAgACAAIAAgACAAMQAyADAAMAA7AFwAbgAgACAAIAAgACAAIAAgACAAIAAgACAAIAA1ADAAMAA7AFwAbgAgACAAIAAgACAAIAAgACAAIAAgACAAIAAxADcAMAAwADsAXABuACAAIAAgACAAIAAgACAAIAAgACAAIAAgADEANgAwADAAOwBcAG4AIAAgACAAIAAgACAAIAAgACAAIAAgACAAMQAwADAAMAA7AFwAbgAgACAAIAAgACAAIAAgACAAIAAgACAAIAA0ADAAMAA7AFwAbgAgACAAIAAgACAAIAAgACAAIAAgACAAIAA1ADAAMAA7AFwAbgAgACAAIAAgACAAIAAgACAAIAAgACAAIAAyADAAMAA7AFwAbgAgACAAIAAgACAAIAAgACAAIAAgACAAIAAzADUAMAA7AFwAbgAgACAAIAAgACAAIAAgACAAIAAgACAAIAAxADUAMAA7AFwAbgAgACAAIAAgACAAIAAgACAAIAAgACAAIAAxADkAMAA7AFwAbgAgACAAIAAgACAAIAAgACAAIAAgACAAIAAxADUAMAA7AFwAbgAgACAAIAAgACAAIAAgACAAIAAgACAAIAAxADcAMAA7AFwAbgAgACAAIAAgACAAIAAgACAAIAAgACAAIAAxADkAMAA7AFwAbgAgACAAIAAgACAAIAAgACAAIAAgACAAIAAxADgAMAA7AFwAbgAgACAAIAAgACAAIAAgACAAIAAgACAAIAAyADAAMAA7AFwAbgAgACAAIAAgACAAIAAgACAAIAAgACAAIAAyADAAMAA7AFwAbgAgACAAIAAgACAAIAAgACAAIAAgACAAIAA3ADAAOwBcAG4AIAAgACAAIAAgACAAIAAgACAAIAAgACAAOAAwADsAXABuACAAIAAgACAAIAAgACAAIAAgACAAIAAgADEAMgAwADsAXABuACAAIAAgACAAIAAgACAAIAAgACAAIAAgADIAMAAwADsAXABuACAAIAAgACAAIAAgACAAIAAgACAAIAAgADcAMAA7AFwAbgAgACAAIAAgACAAIAAgACAAIAAgACAAIAAxADAAMAA7AFwAbgAgACAAIAAgACAAIAAgACAAIAAgACAAIAAxADMAMAA7AFwAbgAgACAAIAAgACAAIAAgACAAIAAgACAAIAAxADIAMAA7AFwAbgAgACAAIAAgACAAIAAgACAAIAAgACAAIAA3ADAAOwBcAG4AIAAgACAAIAAgACAAIAAgACAAIAAgACAAOQAwADsAXABuACAAIAAgACAAIAAgACAAIAAgACAAIAAgADUAMAA7AFwAbgAgACAAIAAgACAAIAAgACAAIAAgACAAIAA0ADAAOwBcAG4AIAAgACAAIAAgACAAIAAgACAAIAAgACAAMgAwADsAXABuACAAIAAgACAAIAAgACAAIAAgACAAIAAgADYAMAA7AFwAbgAgACAAIAAgACAAIAAgACAAIAAgACAAIAA1ADAAOwBcAG4AIAAgACAAIAAgACAAIAAgACAAIAAgACAANwAwADsAXABuACAAIAAgACAAIAAgACAAIAAgACAAIAAgADEAMAAwADsAXABuACAAIAAgACAAIAAgACAAIAAgACAAIAAgADEAMQAwADsAXABuACAAIAAgACAAIAAgACAAIAAgACAAIAAgADEAMAAwADsAXABuACAAIAAgACAAIAAgACAAIAAgACAAIAAgADcAMAA7AFwAbgAgACAAIAAgACAAIAAgACAAIAAgACAAIAAyADcAMAA7AFwAbgAgACAAIAAgACAAIAAgACAAIAAgACAAIAAyADMAMAA7AFwAbgAgACAAIAAgACAAIAAgACAAIAAgACAAIAAxADYAMAA7AFwAbgAgACAAIAAgACAAIAAgACAAIAAgACAAIAAxADQAMAA7AFwAbgAgACAAIAAgACAAIAAgACAAIAAgACAAIAAyADAAMAA7AFwAbgAgACAAIAAgACAAIAAgACAAIAAgACAAIAAxADEAMAA7AFwAbgAgACAAIAAgACAAIAAgACAAIAAgACAAIAA2ADAAOwBcAG4AIAAgACAAIAAgACAAIAAgACAAIAAgACAAOAAwADsAXABuACAAIAAgACAAIAAgACAAIAAgACAAIAAgADEAOQAwADsAXABuACAAIAAgACAAIAAgACAAIAAgACAAIAAgADEAMAAwADsAXABuACAAIAAgACAAIAAgACAAIAAgACAAIAAgADEAMwAwADsAXABuACAAIAAgACAAIAAgACAAIAAgACAAIAAgADIAMgAwADsAXABuACAAIAAgACAAIAAgACAAIAAgACAAIAAgADEANQAwADsAXABuACAAIAAgACAAIAAgACAAIAAgACAAIAAgADIANQAwADsAXABuACAAIAAgACAAIAAgACAAIAAgACAAIAAgADEAMwAwADsAXABuACAAIAAgACAAIAAgACAAIAAgACAAIAAgADEAMQAwADsAXABuACAAIAAgACAAIAAgACAAIAAgACAAIAAgADEAOQAwADsAXABuACAAIAAgACAAIAAgACAAIAAgACAAIAAgADIAOAAwAFwAbgAgACAAIAAgACAAIAAgACAAfQAsAFwAbgAgACAAIAAgACAAIAAgACAAXABuACAAIAAgACAAIAAgACAAIAAvAC8AIAAtAC0ALQAgAEQAZQB0AGUAcgBtAGkAbgBlACAAbQBhAHQAYwBoACAAaQBuAGQAZQB4ACAALQAtAC0AXABuACAAIAAgACAAIAAgACAAIAB0AGUAbQBwAF8AaQBuAF8AcgBhAG4AZwBlACwAIABNAEEAUAAoAFwAbgAgACAAIAAgACAAIAAgACAAIAAgACAAIABTAEUAUQBVAEUATgBDAEUAKABSAE8AVwBTACgAYQByAHIAVABIAGkAZwBoACkAKQAsAFwAbgAgACAAIAAgACAAIAAgACAAIAAgACAAIABMAEEATQBCAEQAQQAoAGkALABcAG4AIAAgACAAIAAgACAAIAAgACAAIAAgACAAIAAgACAAIABBAE4ARAAoAEkATgBEAEUAWAAoAGEAcgByAFQASABpAGcAaAAsACAAaQApACAAPgA9ACAAdABlAG0AcAAsACAAdABlAG0AcAAgAD4AIABJAE4ARABFAFgAKABhAHIAcgBUAEgAaQBnAGgALAAgAGkAKQAgAC0AIABJAE4ARABFAFgAKABhAHIAcgBTAHAAYQBuACwAIABpACkAKQBcAG4AIAAgACAAIAAgACAAIAAgACAAIAAgACAAKQBcAG4AIAAgACAAIAAgACAAIAAgACkALABcAG4AIAAgACAAIAAgACAAIAAgAGkAZAB4ACwAIABYAE0AQQBUAEMASAAoAFQAUgBVAEUALAAgAHQAZQBtAHAAXwBpAG4AXwByAGEAbgBnAGUAKQAsAFwAbgAgACAAIAAgACAAIAAgACAAXABuACAAIAAgACAAIAAgACAAIAAvAC8AIAAtAC0ALQAgAEwAbwBvAGsAdQBwACAAdAB5AHAAZQAgAGEAbgBkACAAYwBvAG0AcAB1AHQAZQAgAGYAcgBhAGMAdABpAG8AbgAgAC0ALQAtAFwAbgAgACAAIAAgACAAIAAgACAAZgB1AGwAbABfAHQAeQBwAGUALAAgAEkATgBEAEUAWAAoAGEAcgByAFQAeQBwAGUAcwAsACAAaQBkAHgAKQAsAFwAbgAgACAAIAAgACAAIAAgACAAVABfAGgAaQBnAGgALAAgAEkATgBEAEUAWAAoAGEAcgByAFQASABpAGcAaAAsACAAaQBkAHgAKQAsAFwAbgAgACAAIAAgACAAIAAgACAAcwBwAGEAbgAsACAASQBOAEQARQBYACgAYQByAHIAUwBwAGEAbgAsACAAaQBkAHgAKQAsAFwAbgAgACAAIAAgACAAIAAgACAAZgAsACAAKABUAF8AaABpAGcAaAAgAC0AIAB0AGUAbQBwACkAIAAvACAAcwBwAGEAbgAsAFwAbgAgACAAIAAgACAAIAAgACAAXABuACAAIAAgACAAIAAgACAAIAAvAC8AIAAtAC0ALQAgAEYAbwByAG0AYQB0ACAAZgByAGEAYwB0AGkAbwBuAGEAbAAgAHAAYQByAHQAIAAtAC0ALQBcAG4AIAAgACAAIAAgACAAIAAgAGQAZQBjACwAIABJAEYAKABJAFMATwBNAEkAVABUAEUARAAoAGQAZQBjAGkAbQBhAGwAcwApACwAIAAzACwAIABkAGUAYwBpAG0AYQBsAHMAKQAsAFwAbgAgACAAIAAgACAAIAAgACAAZgBvAHIAbQBhAHQAXwBzAHQAcgBpAG4AZwAsACAAXAAiAC4AXAAiACAAJgAgAFIARQBQAFQAKABcACIAMABcACIALAAgAGQAZQBjACkALABcAG4AIAAgACAAIAAgACAAIAAgAHMAdQBiAGMAbABhAHMAcwAsACAAZgB1AGwAbABfAHQAeQBwAGUAIAAmACAAVABFAFgAVAAoAGYALAAgAGYAbwByAG0AYQB0AF8AcwB0AHIAaQBuAGcAKQAsAFwAbgAgACAAIAAgACAAIAAgACAAcwB1AGIAYwBsAGEAcwBzAFwAbgAgACAAIAAgACkAXABuACkAOwBcAG4AXABuAC8AKgAgAEEAUwBUAFIATwBfAEQASQBTAFAATABBAFkAXwBTAFAARQBDAFQAUgBBAEwAOgBcAG4AIAAgACAAUAB1AHIAcABvAHMAZQA6ACAARABpAHMAcABsAGEAeQBzACAAcwBwAGUAYwB0AHIAYQBsACAAcwB1AGIAYwBsAGEAcwBzACAAdABlAG0AcABlAHIAYQB0AHUAcgBlACAAYQBuAGQAIABzAHAAYQBuACAAZABhAHQAYQAgAGEAYwByAG8AcwBzACAAcwB0AGUAbABsAGEAcgAgAGMAbABhAHMAcwBpAGYAaQBjAGEAdABpAG8AbgBzAC4AXABuACAAIAAgACAAIAAgACAAIAAgACAAIAAgAEMAYQBuACAAcgBlAHQAdQByAG4AIABlAGkAdABoAGUAcgAgAHQAaABlACAAZgB1AGwAbAAgAHMAcABlAGMAdAByAGEAbAAgAG0AYQB0AHIAaQB4ACAAKABPADMAEyBNADkAKQAgAG8AcgAgAGEAIABmAGkAbAB0AGUAcgBlAGQAIAB0AHcAbwAtAGMAbwBsAHUAbQBuACAAdgBpAGUAdwAuAFwAbgBcAG4AIAAgACAAUgBlAHQAdQByAG4AcwA6ACAAXABuACAAIAAgAC0AIABJAGYAIAB0AHkAcABlACAAaQBzACAAbwBtAGkAdAB0AGUAZAA6ACAAVwBpAGQAZQAgAG0AYQB0AHIAaQB4ACAAbwBmACAAcwBwAGUAYwB0AHIAYQBsACAAYwBsAGEAcwBzAGUAcwAgACgATwAgAHQAbwAgAE0AKQAsACAAMQAwACAAcwB1AGIAYwBsAGEAcwBzAGUAcwAgAGUAYQBjAGgAXABuACAAIAAgAC0AIABJAGYAIAB0AHkAcABlACAAaQBzACAAcAByAG8AdgBpAGQAZQBkADoAIABUAHcAbwAtAGMAbwBsAHUAbQBuACAAdABhAGIAbABlACAAdwBpAHQAaAAgAFQAZQBtAHAAZQByAGEAdAB1AHIAZQAgAGEAbgBkACAAUwBwAGEAbgAgAGYAbwByACAAdABoAGUAIAByAGUAcQB1AGUAcwB0AGUAZAAgAGMAbABhAHMAcwBcAG4AXABuACAAIAAgAFAAYQByAGEAbQBlAHQAZQByAHMAOgBcAG4AIAAgACAALQAgAHQAeQBwAGUAIAAoAG8AcAB0AGkAbwBuAGEAbAApADoAIABPAG4AZQAgAG8AZgAgAHsAXAAiAE8AXAAiACwAXAAiAEIAXAAiACwAXAAiAEEAXAAiACwAXAAiAEYAXAAiACwAXAAiAEcAXAAiACwAXAAiAEsAXAAiACwAXAAiAE0AXAAiAH0AIAB0AG8AIABsAGkAbQBpAHQAIABvAHUAdABwAHUAdAAgAHQAbwAgAHQAaABhAHQAIABzAHAAZQBjAHQAcgBhAGwAIABnAHIAbwB1AHAAXABuAFwAbgAgACAAIABOAG8AdABlAHMAOgBcAG4AIAAgACAALQAgAFQAZQBtAHAAZQByAGEAdAB1AHIAZQBzACAAYQByAGUAIABoAGkAZwBoAC0AZQBuAGQAIAB2AGEAbAB1AGUAcwAgAGYAbwByACAAZQBhAGMAaAAgAHMAdQBiAGMAbABhAHMAcwAgACgAcgBlAGEAbAAtAHcAbwByAGwAZAAgAGkAbgBzAHAAaQByAGUAZAAsACAAcwBtAG8AbwB0AGgAZQBkACAAZABhAHQAYQApAC4AXABuACAAIAAgAC0AIABTAHAAYQBuACAAaQBzACAAdABoAGUAIABLAGUAbAB2AGkAbgAgAGQAaQBmAGYAZQByAGUAbgBjAGUAIABiAGUAdAB3AGUAZQBuACAAYQAgAHMAdQBiAGMAbABhAHMAcwAgAGEAbgBkACAAdABoAGUAIABuAGUAeAB0ACAAYwBvAG8AbABlAHIAIABvAG4AZQAuAFwAbgAgACAAIAAtACAASQBmACAAbgBvACAAdAB5AHAAZQAgAGkAcwAgAHMAcABlAGMAaQBmAGkAZQBkACwAIABvAHUAdABwAHUAdAAgAGkAcwAgAG8AcgBnAGEAbgBpAHoAZQBkACAAYQBzACAAYQAgAHYAaQBzAHUAYQBsACAAcgBlAGYAZQByAGUAbgBjAGUAIAB0AGEAYgBsAGUALgBcAG4AIAAgACAALQAgAFUAcwBlAHMAIABWAFMAVABBAEMASwAgAGEAbgBkACAASABTAFQAQQBDAEsAIABpAG4AdABlAHIAbgBhAGwAbAB5ACAAZgBvAHIAIABjAGwAZQBhAG4AIABzAHQAcgB1AGMAdAB1AHIAZQA7ACAAcgBlAHAAbABhAGMAZQBzACAAcAByAGUAdgBpAG8AdQBzACAAcwBlAHAAYQByAGEAdABlAGQAIAB2AGUAcgBzAGkAbwBuAHMALgBcAG4AIAAgACAALQAgAFQAaABpAHMAIABmAHUAbgBjAHQAaQBvAG4AIABzAHUAcABlAHIAcwBlAGQAZQBzADoAIABBAFMAVABSAE8AXwBEAEkAUwBQAEwAQQBZAF8AQgBBAFMARQBfAEQAQQBUAEEALAAgAF8AUwBFAFAAQQBSAEEAVABFAEQALAAgAGEAbgBkACAAXwBCAFkAXwBUAFkAUABFAC4AXABuAFwAbgAgACAAIABFAHgAYQBtAHAAbABlADoAXABuACAAIAAgAEEAUwBUAFIATwBfAEQASQBTAFAATABBAFkAXwBTAFAARQBDAFQAUgBBAEwAKAApACAAIAAgACAAIAAgACAAIACSISAAUgBlAHQAdQByAG4AcwAgAGYAdQBsAGwAIABPADMAEyBNADkAIABzAHUAYgBjAGwAYQBzAHMAIABjAGgAYQByAHQAXABuACAAIAAgAEEAUwBUAFIATwBfAEQASQBTAFAATABBAFkAXwBTAFAARQBDAFQAUgBBAEwAKABcACIARwBcACIAKQAgACAAIAAgACAAkiEgAFIAZQB0AHUAcgBuAHMAIAB0AGUAbQBwAGUAcgBhAHQAdQByAGUAIABhAG4AZAAgAHMAcABhAG4AIABmAG8AcgAgAEcAMAATIEcAOQBcAG4AIAAgACAAQQBTAFQAUgBPAF8ARABJAFMAUABMAEEAWQBfAFMAUABFAEMAVABSAEEATAAoAFwAIgBGAFwAIgApACAAIAAgACAAIACSISAARgAwABMgRgA5ACAAYwBsAGEAcwBzAGkAZgBpAGMAYQB0AGkAbwBuACAAbQBlAHQAcgBpAGMAcwBcAG4AKgAvAFwAbgBBAFMAVABSAE8AXwBEAEkAUwBQAEwAQQBZAF8AUwBQAEUAQwBUAFIAQQBMACAAPQAgAEwAQQBNAEIARABBACgAWwB0AHkAcABlAF0ALABcAG4AIAAgACAAIABMAEUAVAAoAFwAbgAgACAAIAAgACAAIAAgACAALwAvACAALQAtAC0AIABEAGUAZgBpAG4AZQAgAHMAcABlAGMAdAByAGEAbAAgAHQAeQBwAGUAcwAgAGEAbgBkACAAYgB1AGkAbABkACAAaABlAGwAcABlAHIAcwAgAC0ALQAtAFwAbgAgACAAIAAgACAAIAAgACAAVAB5AHAAZQBzACwAIAB7AFwAIgBPAFwAIgA7ACAAXAAiAEIAXAAiADsAIABcACIAQQBcACIAOwAgAFwAIgBGAFwAIgA7ACAAXAAiAEcAXAAiADsAIABcACIASwBcACIAOwAgAFwAIgBNAFwAIgB9ACwAXABuACAAIAAgACAAIAAgACAAIABIAGUAYQBkAGUAcgBzACwAIABUAFIAQQBOAFMAUABPAFMARQAoAFYAUwBUAEEAQwBLACgAXAAiACAAXAAiACwAIABUAHkAcABlAHMAKQApACwAXABuACAAIAAgACAAIAAgACAAIABGAGkAbgBkAEMAbwBsACwAIABNAEEASwBFAEEAUgBSAEEAWQAoAEMATwBVAE4AVABBACgAVAB5AHAAZQBzACkALAAgADIALAAgAEwAQQBNAEIARABBACgAcgAsACAAYwAsACAASQBGACgAYwAgAD0AIAAxACwAIABJAE4ARABFAFgAKABUAHkAcABlAHMALAAgAHIAKQAsACAAcgApACkAKQAsAFwAbgAgACAAIAAgACAAIAAgACAAXABuACAAIAAgACAAIAAgACAAIAAvAC8AIAAtAC0ALQAgAFIAYQB3ACAAcwB0AGEAcgAgAHMAdQBiAGMAbABhAHMAcwAgAGQAYQB0AGEAIAAtAC0ALQBcAG4AIAAgACAAIAAgACAAIAAgAGEAcgByAFQAeQBwAGUAcwAsACAAewBcAG4AIAAgACAAIAAgACAAIAAgACAAIAAgACAAXAAiAE8AXAAiADsAXABuACAAIAAgACAAIAAgACAAIAAgACAAIAAgAFwAIgBPAFwAIgA7AFwAbgAgACAAIAAgACAAIAAgACAAIAAgACAAIABcACIATwBcACIAOwBcAG4AIAAgACAAIAAgACAAIAAgACAAIAAgACAAXAAiAE8AMwBcACIAOwBcAG4AIAAgACAAIAAgACAAIAAgACAAIAAgACAAXAAiAE8ANABcACIAOwBcAG4AIAAgACAAIAAgACAAIAAgACAAIAAgACAAXAAiAE8ANQBcACIAOwBcAG4AIAAgACAAIAAgACAAIAAgACAAIAAgACAAXAAiAE8ANgBcACIAOwBcAG4AIAAgACAAIAAgACAAIAAgACAAIAAgACAAXAAiAE8ANwBcACIAOwBcAG4AIAAgACAAIAAgACAAIAAgACAAIAAgACAAXAAiAE8AOABcACIAOwBcAG4AIAAgACAAIAAgACAAIAAgACAAIAAgACAAXAAiAE8AOQBcACIAOwBcAG4AIAAgACAAIAAgACAAIAAgACAAIAAgACAAXAAiAEIAMABcACIAOwBcAG4AIAAgACAAIAAgACAAIAAgACAAIAAgACAAXAAiAEIAMQBcACIAOwBcAG4AIAAgACAAIAAgACAAIAAgACAAIAAgACAAXAAiAEIAMgBcACIAOwBcAG4AIAAgACAAIAAgACAAIAAgACAAIAAgACAAXAAiAEIAMwBcACIAOwBcAG4AIAAgACAAIAAgACAAIAAgACAAIAAgACAAXAAiAEIANABcACIAOwBcAG4AIAAgACAAIAAgACAAIAAgACAAIAAgACAAXAAiAEIANQBcACIAOwBcAG4AIAAgACAAIAAgACAAIAAgACAAIAAgACAAXAAiAEIANgBcACIAOwBcAG4AIAAgACAAIAAgACAAIAAgACAAIAAgACAAXAAiAEIANwBcACIAOwBcAG4AIAAgACAAIAAgACAAIAAgACAAIAAgACAAXAAiAEIAOABcACIAOwBcAG4AIAAgACAAIAAgACAAIAAgACAAIAAgACAAXAAiAEIAOQBcACIAOwBcAG4AIAAgACAAIAAgACAAIAAgACAAIAAgACAAXAAiAEEAMABcACIAOwBcAG4AIAAgACAAIAAgACAAIAAgACAAIAAgACAAXAAiAEEAMQBcACIAOwBcAG4AIAAgACAAIAAgACAAIAAgACAAIAAgACAAXAAiAEEAMgBcACIAOwBcAG4AIAAgACAAIAAgACAAIAAgACAAIAAgACAAXAAiAEEAMwBcACIAOwBcAG4AIAAgACAAIAAgACAAIAAgACAAIAAgACAAXAAiAEEANABcACIAOwBcAG4AIAAgACAAIAAgACAAIAAgACAAIAAgACAAXAAiAEEANQBcACIAOwBcAG4AIAAgACAAIAAgACAAIAAgACAAIAAgACAAXAAiAEEANgBcACIAOwBcAG4AIAAgACAAIAAgACAAIAAgACAAIAAgACAAXAAiAEEANwBcACIAOwBcAG4AIAAgACAAIAAgACAAIAAgACAAIAAgACAAXAAiAEEAOABcACIAOwBcAG4AIAAgACAAIAAgACAAIAAgACAAIAAgACAAXAAiAEEAOQBcACIAOwBcAG4AIAAgACAAIAAgACAAIAAgACAAIAAgACAAXAAiAEYAMABcACIAOwBcAG4AIAAgACAAIAAgACAAIAAgACAAIAAgACAAXAAiAEYAMQBcACIAOwBcAG4AIAAgACAAIAAgACAAIAAgACAAIAAgACAAXAAiAEYAMgBcACIAOwBcAG4AIAAgACAAIAAgACAAIAAgACAAIAAgACAAXAAiAEYAMwBcACIAOwBcAG4AIAAgACAAIAAgACAAIAAgACAAIAAgACAAXAAiAEYANABcACIAOwBcAG4AIAAgACAAIAAgACAAIAAgACAAIAAgACAAXAAiAEYANQBcACIAOwBcAG4AIAAgACAAIAAgACAAIAAgACAAIAAgACAAXAAiAEYANgBcACIAOwBcAG4AIAAgACAAIAAgACAAIAAgACAAIAAgACAAXAAiAEYANwBcACIAOwBcAG4AIAAgACAAIAAgACAAIAAgACAAIAAgACAAXAAiAEYAOABcACIAOwBcAG4AIAAgACAAIAAgACAAIAAgACAAIAAgACAAXAAiAEYAOQBcACIAOwBcAG4AIAAgACAAIAAgACAAIAAgACAAIAAgACAAXAAiAEcAMABcACIAOwBcAG4AIAAgACAAIAAgACAAIAAgACAAIAAgACAAXAAiAEcAMQBcACIAOwBcAG4AIAAgACAAIAAgACAAIAAgACAAIAAgACAAXAAiAEcAMgBcACIAOwBcAG4AIAAgACAAIAAgACAAIAAgACAAIAAgACAAXAAiAEcAMwBcACIAOwBcAG4AIAAgACAAIAAgACAAIAAgACAAIAAgACAAXAAiAEcANABcACIAOwBcAG4AIAAgACAAIAAgACAAIAAgACAAIAAgACAAXAAiAEcANQBcACIAOwBcAG4AIAAgACAAIAAgACAAIAAgACAAIAAgACAAXAAiAEcANgBcACIAOwBcAG4AIAAgACAAIAAgACAAIAAgACAAIAAgACAAXAAiAEcANwBcACIAOwBcAG4AIAAgACAAIAAgACAAIAAgACAAIAAgACAAXAAiAEcAOABcACIAOwBcAG4AIAAgACAAIAAgACAAIAAgACAAIAAgACAAXAAiAEcAOQBcACIAOwBcAG4AIAAgACAAIAAgACAAIAAgACAAIAAgACAAXAAiAEsAMABcACIAOwBcAG4AIAAgACAAIAAgACAAIAAgACAAIAAgACAAXAAiAEsAMQBcACIAOwBcAG4AIAAgACAAIAAgACAAIAAgACAAIAAgACAAXAAiAEsAMgBcACIAOwBcAG4AIAAgACAAIAAgACAAIAAgACAAIAAgACAAXAAiAEsAMwBcACIAOwBcAG4AIAAgACAAIAAgACAAIAAgACAAIAAgACAAXAAiAEsANABcACIAOwBcAG4AIAAgACAAIAAgACAAIAAgACAAIAAgACAAXAAiAEsANQBcACIAOwBcAG4AIAAgACAAIAAgACAAIAAgACAAIAAgACAAXAAiAEsANgBcACIAOwBcAG4AIAAgACAAIAAgACAAIAAgACAAIAAgACAAXAAiAEsANwBcACIAOwBcAG4AIAAgACAAIAAgACAAIAAgACAAIAAgACAAXAAiAEsAOABcACIAOwBcAG4AIAAgACAAIAAgACAAIAAgACAAIAAgACAAXAAiAEsAOQBcACIAOwBcAG4AIAAgACAAIAAgACAAIAAgACAAIAAgACAAXAAiAE0AMABcACIAOwBcAG4AIAAgACAAIAAgACAAIAAgACAAIAAgACAAXAAiAE0AMQBcACIAOwBcAG4AIAAgACAAIAAgACAAIAAgACAAIAAgACAAXAAiAE0AMgBcACIAOwBcAG4AIAAgACAAIAAgACAAIAAgACAAIAAgACAAXAAiAE0AMwBcACIAOwBcAG4AIAAgACAAIAAgACAAIAAgACAAIAAgACAAXAAiAE0ANABcACIAOwBcAG4AIAAgACAAIAAgACAAIAAgACAAIAAgACAAXAAiAE0ANQBcACIAOwBcAG4AIAAgACAAIAAgACAAIAAgACAAIAAgACAAXAAiAE0ANgBcACIAOwBcAG4AIAAgACAAIAAgACAAIAAgACAAIAAgACAAXAAiAE0ANwBcACIAOwBcAG4AIAAgACAAIAAgACAAIAAgACAAIAAgACAAXAAiAE0AOABcACIAOwBcAG4AIAAgACAAIAAgACAAIAAgACAAIAAgACAAXAAiAE0AOQBcACIAXABuACAAIAAgACAAIAAgACAAIAB9ACwAXABuACAAIAAgACAAIAAgACAAIABhAHIAcgBUAEgAaQBnAGgALAAgAHsAXABuACAAIAAgACAAIAAgACAAIAAgACAAIAAgAFwAIgBcACIAOwBcAG4AIAAgACAAIAAgACAAIAAgACAAIAAgACAAXAAiAFwAIgA7AFwAbgAgACAAIAAgACAAIAAgACAAIAAgACAAIABcACIAXAAiADsAXABuACAAIAAgACAAIAAgACAAIAAgACAAIAAgADQANAA5ADAAMAA7AFwAbgAgACAAIAAgACAAIAAgACAAIAAgACAAIAA0ADIAOQAwADAAOwBcAG4AIAAgACAAIAAgACAAIAAgACAAIAAgACAANAAxADQAMAAwADsAXABuACAAIAAgACAAIAAgACAAIAAgACAAIAAgADMAOQA1ADAAMAA7AFwAbgAgACAAIAAgACAAIAAgACAAIAAgACAAIAAzADcAMQAwADAAOwBcAG4AIAAgACAAIAAgACAAIAAgACAAIAAgACAAMwA1ADEAMAAwADsAXABuACAAIAAgACAAIAAgACAAIAAgACAAIAAgADMAMwAzADAAMAA7AFwAbgAgACAAIAAgACAAIAAgACAAIAAgACAAIAAzADEANAAwADAAOwBcAG4AIAAgACAAIAAgACAAIAAgACAAIAAgACAAMgA2ADAAMAAwADsAXABuACAAIAAgACAAIAAgACAAIAAgACAAIAAgADIAMAA2ADAAMAA7AFwAbgAgACAAIAAgACAAIAAgACAAIAAgACAAIAAxADcAMAAwADAAOwBcAG4AIAAgACAAIAAgACAAIAAgACAAIAAgACAAMQA2ADQAMAAwADsAXABuACAAIAAgACAAIAAgACAAIAAgACAAIAAgADEANQA3ADAAMAA7AFwAbgAgACAAIAAgACAAIAAgACAAIAAgACAAIAAxADQANQAwADAAOwBcAG4AIAAgACAAIAAgACAAIAAgACAAIAAgACAAMQA0ADAAMAAwADsAXABuACAAIAAgACAAIAAgACAAIAAgACAAIAAgADEAMgAzADAAMAA7AFwAbgAgACAAIAAgACAAIAAgACAAIAAgACAAIAAxADAANwAwADAAOwBcAG4AIAAgACAAIAAgACAAIAAgACAAIAAgACAAOQA3ADAAMAA7AFwAbgAgACAAIAAgACAAIAAgACAAIAAgACAAIAA5ADMAMAAwADsAXABuACAAIAAgACAAIAAgACAAIAAgACAAIAAgADgAOAAwADAAOwBcAG4AIAAgACAAIAAgACAAIAAgACAAIAAgACAAOAA2ADAAMAA7AFwAbgAgACAAIAAgACAAIAAgACAAIAAgACAAIAA4ADIANQAwADsAXABuACAAIAAgACAAIAAgACAAIAAgACAAIAAgADgAMQAwADAAOwBcAG4AIAAgACAAIAAgACAAIAAgACAAIAAgACAANwA5ADEAMAA7AFwAbgAgACAAIAAgACAAIAAgACAAIAAgACAAIAA3ADcANgAwADsAXABuACAAIAAgACAAIAAgACAAIAAgACAAIAAgADcANQA5ADAAOwBcAG4AIAAgACAAIAAgACAAIAAgACAAIAAgACAANwA0ADAAMAA7AFwAbgAgACAAIAAgACAAIAAgACAAIAAgACAAIAA3ADIAMgAwADsAXABuACAAIAAgACAAIAAgACAAIAAgACAAIAAgADcAMAAyADAAOwBcAG4AIAAgACAAIAAgACAAIAAgACAAIAAgACAANgA4ADIAMAA7AFwAbgAgACAAIAAgACAAIAAgACAAIAAgACAAIAA2ADcANQAwADsAXABuACAAIAAgACAAIAAgACAAIAAgACAAIAAgADYANgA3ADAAOwBcAG4AIAAgACAAIAAgACAAIAAgACAAIAAgACAANgA1ADUAMAA7AFwAbgAgACAAIAAgACAAIAAgACAAIAAgACAAIAA2ADMANQAwADsAXABuACAAIAAgACAAIAAgACAAIAAgACAAIAAgADYAMgA4ADAAOwBcAG4AIAAgACAAIAAgACAAIAAgACAAIAAgACAANgAxADgAMAA7AFwAbgAgACAAIAAgACAAIAAgACAAIAAgACAAIAA2ADAANQAwADsAXABuACAAIAAgACAAIAAgACAAIAAgACAAIAAgADUAOQAzADAAOwBcAG4AIAAgACAAIAAgACAAIAAgACAAIAAgACAANQA4ADYAMAA7AFwAbgAgACAAIAAgACAAIAAgACAAIAAgACAAIAA1ADcANwAwADsAXABuACAAIAAgACAAIAAgACAAIAAgACAAIAAgADUANwAyADAAOwBcAG4AIAAgACAAIAAgACAAIAAgACAAIAAgACAANQA2ADgAMAA7AFwAbgAgACAAIAAgACAAIAAgACAAIAAgACAAIAA1ADYANgAwADsAXABuACAAIAAgACAAIAAgACAAIAAgACAAIAAgADUANgAwADAAOwBcAG4AIAAgACAAIAAgACAAIAAgACAAIAAgACAANQA1ADUAMAA7AFwAbgAgACAAIAAgACAAIAAgACAAIAAgACAAIAA1ADQAOAAwADsAXABuACAAIAAgACAAIAAgACAAIAAgACAAIAAgADUAMwA4ADAAOwBcAG4AIAAgACAAIAAgACAAIAAgACAAIAAgACAANQAyADcAMAA7AFwAbgAgACAAIAAgACAAIAAgACAAIAAgACAAIAA1ADEANwAwADsAXABuACAAIAAgACAAIAAgACAAIAAgACAAIAAgADUAMQAwADAAOwBcAG4AIAAgACAAIAAgACAAIAAgACAAIAAgACAANAA4ADMAMAA7AFwAbgAgACAAIAAgACAAIAAgACAAIAAgACAAIAA0ADYAMAAwADsAXABuACAAIAAgACAAIAAgACAAIAAgACAAIAAgADQANAA0ADAAOwBcAG4AIAAgACAAIAAgACAAIAAgACAAIAAgACAANAAzADAAMAA7AFwAbgAgACAAIAAgACAAIAAgACAAIAAgACAAIAA0ADEAMAAwADsAXABuACAAIAAgACAAIAAgACAAIAAgACAAIAAgADMAOQA5ADAAOwBcAG4AIAAgACAAIAAgACAAIAAgACAAIAAgACAAMwA5ADMAMAA7AFwAbgAgACAAIAAgACAAIAAgACAAIAAgACAAIAAzADgANQAwADsAXABuACAAIAAgACAAIAAgACAAIAAgACAAIAAgADMANgA2ADAAOwBcAG4AIAAgACAAIAAgACAAIAAgACAAIAAgACAAMwA1ADYAMAA7AFwAbgAgACAAIAAgACAAIAAgACAAIAAgACAAIAAzADQAMwAwADsAXABuACAAIAAgACAAIAAgACAAIAAgACAAIAAgADMAMgAxADAAOwBcAG4AIAAgACAAIAAgACAAIAAgACAAIAAgACAAMwAwADYAMAA7AFwAbgAgACAAIAAgACAAIAAgACAAIAAgACAAIAAyADgAMQAwADsAXABuACAAIAAgACAAIAAgACAAIAAgACAAIAAgADIANgA4ADAAOwBcAG4AIAAgACAAIAAgACAAIAAgACAAIAAgACAAMgA1ADcAMAA7AFwAbgAgACAAIAAgACAAIAAgACAAIAAgACAAIAAyADMAOAAwAFwAbgAgACAAIAAgACAAIAAgACAAfQAsAFwAbgAgACAAIAAgACAAIAAgACAAYQByAHIAUwBwAGEAbgAsACAAewBcAG4AIAAgACAAIAAgACAAIAAgACAAIAAgACAAXAAiAFwAIgA7AFwAbgAgACAAIAAgACAAIAAgACAAIAAgACAAIABcACIAXAAiADsAXABuACAAIAAgACAAIAAgACAAIAAgACAAIAAgAFwAIgBcACIAOwBcAG4AIAAgACAAIAAgACAAIAAgACAAIAAgACAAMgAwADAAMAA7AFwAbgAgACAAIAAgACAAIAAgACAAIAAgACAAIAAxADUAMAAwADsAXABuACAAIAAgACAAIAAgACAAIAAgACAAIAAgADEAOQAwADAAOwBcAG4AIAAgACAAIAAgACAAIAAgACAAIAAgACAAMgA0ADAAMAA7AFwAbgAgACAAIAAgACAAIAAgACAAIAAgACAAIAAyADAAMAAwADsAXABuACAAIAAgACAAIAAgACAAIAAgACAAIAAgADEAOAAwADAAOwBcAG4AIAAgACAAIAAgACAAIAAgACAAIAAgACAAMQA5ADAAMAA7AFwAbgAgACAAIAAgACAAIAAgACAAIAAgACAAIAA1ADQAMAAwADsAXABuACAAIAAgACAAIAAgACAAIAAgACAAIAAgADUANAAwADAAOwBcAG4AIAAgACAAIAAgACAAIAAgACAAIAAgACAAMwA2ADAAMAA7AFwAbgAgACAAIAAgACAAIAAgACAAIAAgACAAIAA2ADAAMAA7AFwAbgAgACAAIAAgACAAIAAgACAAIAAgACAAIAA3ADAAMAA7AFwAbgAgACAAIAAgACAAIAAgACAAIAAgACAAIAAxADIAMAAwADsAXABuACAAIAAgACAAIAAgACAAIAAgACAAIAAgADUAMAAwADsAXABuACAAIAAgACAAIAAgACAAIAAgACAAIAAgADEANwAwADAAOwBcAG4AIAAgACAAIAAgACAAIAAgACAAIAAgACAAMQA2ADAAMAA7AFwAbgAgACAAIAAgACAAIAAgACAAIAAgACAAIAAxADAAMAAwADsAXABuACAAIAAgACAAIAAgACAAIAAgACAAIAAgADQAMAAwADsAXABuACAAIAAgACAAIAAgACAAIAAgACAAIAAgADUAMAAwADsAXABuACAAIAAgACAAIAAgACAAIAAgACAAIAAgADIAMAAwADsAXABuACAAIAAgACAAIAAgACAAIAAgACAAIAAgADMANQAwADsAXABuACAAIAAgACAAIAAgACAAIAAgACAAIAAgADEANQAwADsAXABuACAAIAAgACAAIAAgACAAIAAgACAAIAAgADEAOQAwADsAXABuACAAIAAgACAAIAAgACAAIAAgACAAIAAgADEANQAwADsAXABuACAAIAAgACAAIAAgACAAIAAgACAAIAAgADEANwAwADsAXABuACAAIAAgACAAIAAgACAAIAAgACAAIAAgADEAOQAwADsAXABuACAAIAAgACAAIAAgACAAIAAgACAAIAAgADEAOAAwADsAXABuACAAIAAgACAAIAAgACAAIAAgACAAIAAgADIAMAAwADsAXABuACAAIAAgACAAIAAgACAAIAAgACAAIAAgADIAMAAwADsAXABuACAAIAAgACAAIAAgACAAIAAgACAAIAAgADcAMAA7AFwAbgAgACAAIAAgACAAIAAgACAAIAAgACAAIAA4ADAAOwBcAG4AIAAgACAAIAAgACAAIAAgACAAIAAgACAAMQAyADAAOwBcAG4AIAAgACAAIAAgACAAIAAgACAAIAAgACAAMgAwADAAOwBcAG4AIAAgACAAIAAgACAAIAAgACAAIAAgACAANwAwADsAXABuACAAIAAgACAAIAAgACAAIAAgACAAIAAgADEAMAAwADsAXABuACAAIAAgACAAIAAgACAAIAAgACAAIAAgADEAMwAwADsAXABuACAAIAAgACAAIAAgACAAIAAgACAAIAAgADEAMgAwADsAXABuACAAIAAgACAAIAAgACAAIAAgACAAIAAgADcAMAA7AFwAbgAgACAAIAAgACAAIAAgACAAIAAgACAAIAA5ADAAOwBcAG4AIAAgACAAIAAgACAAIAAgACAAIAAgACAANQAwADsAXABuACAAIAAgACAAIAAgACAAIAAgACAAIAAgADQAMAA7AFwAbgAgACAAIAAgACAAIAAgACAAIAAgACAAIAAyADAAOwBcAG4AIAAgACAAIAAgACAAIAAgACAAIAAgACAANgAwADsAXABuACAAIAAgACAAIAAgACAAIAAgACAAIAAgADUAMAA7AFwAbgAgACAAIAAgACAAIAAgACAAIAAgACAAIAA3ADAAOwBcAG4AIAAgACAAIAAgACAAIAAgACAAIAAgACAAMQAwADAAOwBcAG4AIAAgACAAIAAgACAAIAAgACAAIAAgACAAMQAxADAAOwBcAG4AIAAgACAAIAAgACAAIAAgACAAIAAgACAAMQAwADAAOwBcAG4AIAAgACAAIAAgACAAIAAgACAAIAAgACAANwAwADsAXABuACAAIAAgACAAIAAgACAAIAAgACAAIAAgADIANwAwADsAXABuACAAIAAgACAAIAAgACAAIAAgACAAIAAgADIAMwAwADsAXABuACAAIAAgACAAIAAgACAAIAAgACAAIAAgADEANgAwADsAXABuACAAIAAgACAAIAAgACAAIAAgACAAIAAgADEANAAwADsAXABuACAAIAAgACAAIAAgACAAIAAgACAAIAAgADIAMAAwADsAXABuACAAIAAgACAAIAAgACAAIAAgACAAIAAgADEAMQAwADsAXABuACAAIAAgACAAIAAgACAAIAAgACAAIAAgADYAMAA7AFwAbgAgACAAIAAgACAAIAAgACAAIAAgACAAIAA4ADAAOwBcAG4AIAAgACAAIAAgACAAIAAgACAAIAAgACAAMQA5ADAAOwBcAG4AIAAgACAAIAAgACAAIAAgACAAIAAgACAAMQAwADAAOwBcAG4AIAAgACAAIAAgACAAIAAgACAAIAAgACAAMQAzADAAOwBcAG4AIAAgACAAIAAgACAAIAAgACAAIAAgACAAMgAyADAAOwBcAG4AIAAgACAAIAAgACAAIAAgACAAIAAgACAAMQA1ADAAOwBcAG4AIAAgACAAIAAgACAAIAAgACAAIAAgACAAMgA1ADAAOwBcAG4AIAAgACAAIAAgACAAIAAgACAAIAAgACAAMQAzADAAOwBcAG4AIAAgACAAIAAgACAAIAAgACAAIAAgACAAMQAxADAAOwBcAG4AIAAgACAAIAAgACAAIAAgACAAIAAgACAAMQA5ADAAOwBcAG4AIAAgACAAIAAgACAAIAAgACAAIAAgACAAMgA4ADAAXABuACAAIAAgACAAIAAgACAAIAB9ACwAXABuACAAIAAgACAAIAAgACAAIABcAG4AIAAgACAAIAAgACAAIAAgAC8ALwAgAC0ALQAtACAASQBmACAAbgBvACAAdAB5AHAAZQAgAGkAcwAgAHMAcABlAGMAaQBmAGkAZQBkACwAIABkAGkAcwBwAGwAYQB5ACAAZgB1AGwAbAAgAHQAYQBiAGwAZQAgAC0ALQAtAFwAbgAgACAAIAAgACAAIAAgACAAZgBvAHIAbQBhAHQAdABlAGQARABhAHQAYQAsACAAQgBZAFIATwBXACgAXABuACAAIAAgACAAIAAgACAAIAAgACAAIAAgAEgAUwBUAEEAQwBLACgAYQByAHIAVAB5AHAAZQBzACwAIABhAHIAcgBUAEgAaQBnAGgALAAgAGEAcgByAFMAcABhAG4AKQAsAFwAbgAgACAAIAAgACAAIAAgACAAIAAgACAAIABMAEEATQBCAEQAQQAoAHIAbwB3ACwAIABUAEUAWABUAEoATwBJAE4AKABcACIAOwAgAFwAIgAsACAAVABSAFUARQAsACAAVABFAFgAVAAoAEkATgBEAEUAWAAoAHIAbwB3ACwAIAAyACkALAAgAFwAIgAwAFwAIgApACwAIABUAEUAWABUACgASQBOAEQARQBYACgAcgBvAHcALAAgADMAKQAsACAAXAAiADAAXAAiACkAKQApAFwAbgAgACAAIAAgACAAIAAgACAAKQAsAFwAbgAgACAAIAAgACAAIAAgACAATgB1AG0AYgBlAHIAcwAsACAAUwBFAFEAVQBFAE4AQwBFACgAMQAwACwAIAAxACwAIAAwACwAIAAxACkALABcAG4AIAAgACAAIAAgACAAIAAgAE8AXwBTAHQAYQByAHMALAAgAEYASQBMAFQARQBSACgAZgBvAHIAbQBhAHQAdABlAGQARABhAHQAYQAsACAATABFAEYAVAAoAGEAcgByAFQAeQBwAGUAcwAsACAAMQApACAAPQAgAFwAIgBPAFwAIgApACwAXABuACAAIAAgACAAIAAgACAAIABCAF8AUwB0AGEAcgBzACwAIABGAEkATABUAEUAUgAoAGYAbwByAG0AYQB0AHQAZQBkAEQAYQB0AGEALAAgAEwARQBGAFQAKABhAHIAcgBUAHkAcABlAHMALAAgADEAKQAgAD0AIABcACIAQgBcACIAKQAsAFwAbgAgACAAIAAgACAAIAAgACAAQQBfAFMAdABhAHIAcwAsACAARgBJAEwAVABFAFIAKABmAG8AcgBtAGEAdAB0AGUAZABEAGEAdABhACwAIABMAEUARgBUACgAYQByAHIAVAB5AHAAZQBzACwAIAAxACkAIAA9ACAAXAAiAEEAXAAiACkALABcAG4AIAAgACAAIAAgACAAIAAgAEYAXwBTAHQAYQByAHMALAAgAEYASQBMAFQARQBSACgAZgBvAHIAbQBhAHQAdABlAGQARABhAHQAYQAsACAATABFAEYAVAAoAGEAcgByAFQAeQBwAGUAcwAsACAAMQApACAAPQAgAFwAIgBGAFwAIgApACwAXABuACAAIAAgACAAIAAgACAAIABHAF8AUwB0AGEAcgBzACwAIABGAEkATABUAEUAUgAoAGYAbwByAG0AYQB0AHQAZQBkAEQAYQB0AGEALAAgAEwARQBGAFQAKABhAHIAcgBUAHkAcABlAHMALAAgADEAKQAgAD0AIABcACIARwBcACIAKQAsAFwAbgAgACAAIAAgACAAIAAgACAASwBfAFMAdABhAHIAcwAsACAARgBJAEwAVABFAFIAKABmAG8AcgBtAGEAdAB0AGUAZABEAGEAdABhACwAIABMAEUARgBUACgAYQByAHIAVAB5AHAAZQBzACwAIAAxACkAIAA9ACAAXAAiAEsAXAAiACkALABcAG4AIAAgACAAIAAgACAAIAAgAE0AXwBTAHQAYQByAHMALAAgAEYASQBMAFQARQBSACgAZgBvAHIAbQBhAHQAdABlAGQARABhAHQAYQAsACAATABFAEYAVAAoAGEAcgByAFQAeQBwAGUAcwAsACAAMQApACAAPQAgAFwAIgBNAFwAIgApACwAXABuACAAIAAgACAAIAAgACAAIABmAHUAbABsAFQAYQBiAGwAZQAsACAAVgBTAFQAQQBDAEsAKABcAG4AIAAgACAAIAAgACAAIAAgACAAIAAgACAASABlAGEAZABlAHIAcwAsAFwAbgAgACAAIAAgACAAIAAgACAAIAAgACAAIABIAFMAVABBAEMASwAoAE4AdQBtAGIAZQByAHMALAAgAE8AXwBTAHQAYQByAHMALAAgAEIAXwBTAHQAYQByAHMALAAgAEEAXwBTAHQAYQByAHMALAAgAEYAXwBTAHQAYQByAHMALAAgAEcAXwBTAHQAYQByAHMALAAgAEsAXwBTAHQAYQByAHMALAAgAE0AXwBTAHQAYQByAHMAKQBcAG4AIAAgACAAIAAgACAAIAAgACkALABcAG4AIAAgACAAIAAgACAAIAAgAFwAbgAgACAAIAAgACAAIAAgACAALwAvACAALQAtAC0AIABJAGYAIAB0AHkAcABlACAAaQBzACAAcwBwAGUAYwBpAGYAaQBlAGQALAAgAGoAdQBzAHQAIAByAGUAdAB1AHIAbgAgAHQAdwBvAC0AYwBvAGwAdQBtAG4AIABiAHIAZQBhAGsAZABvAHcAbgAgAC0ALQAtAFwAbgAgACAAIAAgACAAIAAgACAAdABlAG0AcABzACwAIABGAEkATABUAEUAUgAoAGEAcgByAFQASABpAGcAaAAsACAATABFAEYAVAAoAGEAcgByAFQAeQBwAGUAcwAsACAAMQApACAAPQAgAHQAeQBwAGUAKQAsAFwAbgAgACAAIAAgACAAIAAgACAAcwBwAGEAbgBzACwAIABGAEkATABUAEUAUgAoAGEAcgByAFMAcABhAG4ALAAgAEwARQBGAFQAKABhAHIAcgBUAHkAcABlAHMALAAgADEAKQAgAD0AIAB0AHkAcABlACkALABcAG4AIAAgACAAIAAgACAAIAAgAHQAeQBwAGUASABlAGEAZAAsACAASABTAFQAQQBDAEsAKAB0AHkAcABlACwAIABcACIAcwBwAGEAbgBcACIAKQAsAFwAbgAgACAAIAAgACAAIAAgACAAcwBsAGkAbQBUAGEAYgBsAGUALAAgAFYAUwBUAEEAQwBLACgAdAB5AHAAZQBIAGUAYQBkACwAIABIAFMAVABBAEMASwAoAHQAZQBtAHAAcwAsACAAcwBwAGEAbgBzACkAKQAsAFwAbgAgACAAIAAgACAAIAAgACAAXABuACAAIAAgACAAIAAgACAAIAAvAC8AIAAtAC0ALQAgAEYAaQBuAGEAbAAgAG8AdQB0AHAAdQB0ADoAIABmAHUAbABsACAAdABhAGIAbABlACAAbwByACAAZgBpAGwAdABlAHIAZQBkACAAYwBvAGwAdQBtAG4AcwBcAG4AIAAgACAAIAAgACAAIAAgAHIAZQBzAHUAbAB0ACwAIABJAEYAKABJAFMAQgBMAEEATgBLACgAdAB5AHAAZQApACwAIABmAHUAbABsAFQAYQBiAGwAZQAsACAAcwBsAGkAbQBUAGEAYgBsAGUAKQAsAFwAbgAgACAAIAAgACAAIAAgACAAcgBlAHMAdQBsAHQAXABuACAAIAAgACAAKQBcAG4AKQA7AFwAbgBcAG4ALwAqACAAQQBTAFQAUgBPAF8AUwBUAEEAUgBfAEEAVABUAFIASQBCAFUAVABFAFMAXABuAFwAbgAgACAAIABQAHUAcgBwAG8AcwBlADoAXABuACAAIAAgAEMAYQBsAGMAdQBsAGEAdABlAHMAIABhAGwAbAAgAGsAZQB5ACAAcwB0AGUAbABsAGEAcgAgAHAAYQByAGEAbQBlAHQAZQByAHMAIABmAHIAbwBtACAAYQAgAHMAaQBuAGcAbABlACAAawBuAG8AdwBuACAAdgBhAGwAdQBlACAAFCAgAHQAZQBtAHAAZQByAGEAdAB1AHIAZQAsACAAbQBhAHMAcwAsACAAcgBhAGQAaQB1AHMALABcAG4AIAAgACAAbAB1AG0AaQBuAG8AcwBpAHQAeQAsACAAbwByACAAbABpAGYAZQB0AGkAbQBlACAAFCAgAHUAcwBpAG4AZwAgAGUAbQBwAGkAcgBpAGMAYQBsACAAcABvAHcAZQByAC0AbABhAHcAIABzAGMAYQBsAGkAbgBnACAAcgBlAGwAYQB0AGkAbwBuAHMAaABpAHAAcwAgAGIAYQBzAGUAZAAgAG8AbgAgAHQAaABlACAAUwB1AG4ALgBcAG4AXABuACAAIAAgAFAAYQByAGEAbQBlAHQAZQByAHMAOgBcAG4AIAAgACAALQAgAG0AbwBkAGUAIAAgACAAIAAgACgAcgBlAHEAdQBpAHIAZQBkACkAOgAgAEEAIABzAHQAcgBpAG4AZwAgAGkAbgBkAGkAYwBhAHQAaQBuAGcAIAB0AGgAZQAgAGkAbgBwAHUAdAAgAGEAdAB0AHIAaQBiAHUAdABlACAAdAB5AHAAZQA6AFwAbgAgACAAIAAgACAAIAAgAFwAIgBLAFwAIgAgABQgIABFAGYAZgBlAGMAdABpAHYAZQAgAHQAZQBtAHAAZQByAGEAdAB1AHIAZQAgACgASwBlAGwAdgBpAG4AKQBcAG4AIAAgACAAIAAgACAAIABcACIAVABcACIAIAAUICAATgBvAHIAbQBhAGwAaQB6AGUAZAAgAHQAZQBtAHAAZQByAGEAdAB1AHIAZQAgACgAVAAgAC8AIAA1ADcANwAwACAASwApAFwAbgAgACAAIAAgACAAIAAgAFwAIgBNAFwAIgAgABQgIABNAGEAcwBzACAAKABzAG8AbABhAHIAIAB1AG4AaQB0AHMAKQBcAG4AIAAgACAAIAAgACAAIABcACIAUgBcACIAIAAUICAAUgBhAGQAaQB1AHMAIAAoAHMAbwBsAGEAcgAgAHUAbgBpAHQAcwApAFwAbgAgACAAIAAgACAAIAAgAFwAIgBMAFwAIgAgABQgIABMAHUAbQBpAG4AbwBzAGkAdAB5ACAAKABzAG8AbABhAHIAIAB1AG4AaQB0AHMAKQBcAG4AIAAgACAAIAAgACAAIABcACIAVgBcACIAIAAUICAATQBhAGkAbgAtAHMAZQBxAHUAZQBuAGMAZQAgAGwAaQBmAGUAdABpAG0AZQAgACgAcwBvAGwAYQByACAAdQBuAGkAdABzACkAXABuACAAIAAgAC0AIABpAG4AcAB1AHQAIAAgACAAIAAoAHIAZQBxAHUAaQByAGUAZAApADoAIABBACAAbgB1AG0AZQByAGkAYwAgAHYAYQBsAHUAZQAgAHIAZQBwAHIAZQBzAGUAbgB0AGkAbgBnACAAdABoAGUAIABpAG4AcAB1AHQAIABhAHQAdAByAGkAYgB1AHQAZQAgACgAbQB1AHMAdAAgAG0AYQB0AGMAaAAgAHQAaABlACAAbQBvAGQAZQApAC4AXABuACAAIAAgAC0AIABwAHIAZQBjAGkAcwBpAG8AbgAgACgAbwBwAHQAaQBvAG4AYQBsACkAOgAgAE4AdQBtAGIAZQByACAAbwBmACAAZABlAGMAaQBtAGEAbAAgAHAAbABhAGMAZQBzACAAdABvACAAcgBvAHUAbgBkACAAbwB1AHQAcAB1AHQAIAB2AGEAbAB1AGUAcwAuACAARABlAGYAYQB1AGwAdAAgAD0AIAA2AC4AXABuAFwAbgAgACAAIABSAGUAdAB1AHIAbgBzADoAXABuACAAIAAgAEEAIAB0AHcAbwAtAGMAbwBsAHUAbQBuACAAYQByAHIAYQB5ACAAdwBpAHQAaAAgAGwAYQBiAGUAbABlAGQAIABzAHQAZQBsAGwAYQByACAAcABhAHIAYQBtAGUAdABlAHIAcwAgACgASwAsACAAVAAsACAATQAsACAAUgAsACAATAAsACAAVgApACwAXABuACAAIAAgAHcAaQB0AGgAIAB0AGgAZQAgAGkAbgBwAHUAdAAgAGEAdAB0AHIAaQBiAHUAdABlACAAZgBsAGEAZwBnAGUAZAAgAHcAaQB0AGgAIABhACAAlCcgAGEAcgByAG8AdwAgAGYAbwByACAAYwBsAGEAcgBpAHQAeQAuAFwAbgBcAG4AIAAgACAATQBlAHQAaABvAGQAOgBcAG4AIAAgACAAVABoAGUAIABmAHUAbgBjAHQAaQBvAG4AIABuAG8AcgBtAGEAbABpAHoAZQBzACAAdABoAGUAIABpAG4AcAB1AHQAIAB2AGEAbAB1AGUAIAB0AG8AIABhACAAcwBvAGwAYQByAC0AcgBlAGwAYQB0AGkAdgBlACAAdABlAG0AcABlAHIAYQB0AHUAcgBlACAAKABgAFQAbgBvAHIAbQBgACkAXABuACAAIAAgAGEAbgBkACAAZABlAHIAaQB2AGUAcwAgAHQAaABlACAAcgBlAG0AYQBpAG4AaQBuAGcAIABwAGEAcgBhAG0AZQB0AGUAcgBzACAAZgByAG8AbQAgAGUAbQBwAGkAcgBpAGMAYQBsACAAZQB4AHAAbwBuAGUAbgB0AHMAOgBcAG4AXABuACAAIAAgAC0AIABLACAAPQAgAFQAbgBvAHIAbQAgANcAIAA1ADcANwAwAFwAbgAgACAAIAAtACAATQAgAD0AIABUAG4AbwByAG0AsgBcAG4AIAAgACAALQAgAFIAIAA9ACAAVABuAG8AcgBtAF4AMQAuADgAXABuACAAIAAgAC0AIABMACAAPQAgAFQAbgBvAHIAbQBeADcALgA2AFwAbgAgACAAIAAtACAAVgAgAD0AIABUAG4AbwByAG0AXgAoAC0ANQApAFwAbgBcAG4AIAAgACAARQB4AGEAbQBwAGwAZQA6AFwAbgAgACAAIABBAFMAVABSAE8AXwBTAFQAQQBSAF8AQQBUAFQAUgBJAEIAVQBUAEUAUwAoAFwAIgBLAFwAIgAsACAAOQAxADcAMAAuADYAMAA1ADIALAAgADMAKQBcAG4AXABuACAAIAAgAE8AdQB0AHAAdQB0ADoAXABuACAAIAAgACAAIABLACAAlCcgACAAIAA5ADEANwAwAC4ANgAwADUAXABuACAAIAAgACAAIABUACAAIAAgACAAIAAxAC4ANQA4ADgAXABuACAAIAAgACAAIABNACAAIAAgACAAIAAyAC4ANQAyADMAXABuACAAIAAgACAAIABSACAAIAAgACAAIAAyAC4AMgA5ADYAXABuACAAIAAgACAAIABMACAAIAAgACAAIAAzADMALgAwADAANgBcAG4AIAAgACAAIAAgAFYAIAAgACAAIAAgADAALgAxADAAMQBcAG4AXABuACAAIAAgAE4AbwB0AGUAcwA6AFwAbgAgACAAIAAtACAAQgBhAHMAZQBkACAAbwBuACAAcwBpAG0AcABsAGkAZgBpAGUAZAAgAHMAdABlAGwAbABhAHIAIABzAGMAYQBsAGkAbgBnACAAbABhAHcAcwAgAHUAcwBlAGQAIABpAG4AIABhAHMAdAByAG8AcABoAHkAcwBpAGMAcwAgAGEAbgBkACAAdwBvAHIAbABkAGIAdQBpAGwAZABpAG4AZwAuAFwAbgAgACAAIAAtACAARQBmAGYAZQBjAHQAaQB2AGUAIAB0AGUAbQBwAGUAcgBhAHQAdQByAGUAIABpAHMAIABzAGMAYQBsAGUAZAAgAHQAbwAgADUANwA3ADAAIABLACAAZgBvAHIAIAB0AGgAZQAgAFMAdQBuACAAKABzAHQAYQBuAGQAYQByAGQAIABzAG8AbABhAHIAIAByAGUAZgBlAHIAZQBuAGMAZQApAC4AXABuACAAIAAgAC0AIABMAGkAZgBlAHQAaQBtAGUAIABpAHMAIABhAHAAcAByAG8AeABpAG0AYQB0AGUAZAAgAGEAcwAgAGEAIABwAG8AdwBlAHIAIABpAG4AdgBlAHIAcwBlACAAbwBmACAAdABlAG0AcABlAHIAYQB0AHUAcgBlADoAIABWACAAHSIgAFQAeyB1IC4AXABuACAAIAAgAC0AIABEAGUAcwBpAGcAbgBlAGQAIABmAG8AcgAgAGUAZAB1AGMAYQB0AGkAbwBuAGEAbAAsACAAcwBwAGUAYwB1AGwAYQB0AGkAdgBlACwAIABhAG4AZAAgAG0AbwBkAGUAbABpAG4AZwAgAHAAdQByAHAAbwBzAGUAcwAuAFwAbgBcAG4AKgAvAFwAbgBBAFMAVABSAE8AXwBTAFQAQQBSAF8AQQBUAFQAUgBJAEIAVQBUAEUAUwAgAD0AIABMAEEATQBCAEQAQQAoAG0AbwBkAGUALAAgAGkAbgBwAHUAdAAsACAAWwBwAHIAZQBjAGkAcwBpAG8AbgBdACwAXABuACAAIAAgACAATABFAFQAKABcAG4AIAAgACAAIAAgACAAIAAgAC8ALwAgAFMAZQB0ACAAZABlAGYAYQB1AGwAdAAgAHIAbwB1AG4AZABpAG4AZwAgAHAAcgBlAGMAaQBzAGkAbwBuAFwAbgAgACAAIAAgACAAIAAgACAAcAByAGUAYwAsACAASQBGACgASQBTAE8ATQBJAFQAVABFAEQAKABwAHIAZQBjAGkAcwBpAG8AbgApACwAIAA2ACwAIABwAHIAZQBjAGkAcwBpAG8AbgApACwAXABuACAAIAAgACAAIAAgACAAIABcAG4AIAAgACAAIAAgACAAIAAgAC8ALwAgAE4AbwByAG0AYQBsAGkAegBlACAAaQBuAHAAdQB0ACAAbQBvAGQAZQAgAHQAbwAgAHUAcABwAGUAcgAtAGMAYQBzAGUAIABmAG8AcgAgAGMAbwBuAHMAaQBzAHQAZQBuAGMAeQBcAG4AIAAgACAAIAAgACAAIAAgAG0AbwBkAGUALAAgAFUAUABQAEUAUgAoAG0AbwBkAGUAKQAsAFwAbgAgACAAIAAgACAAIAAgACAAXABuACAAIAAgACAAIAAgACAAIAAvAC8AIABOAG8AcgBtAGEAbABpAHoAZQAgAGkAbgBwAHUAdAAgAHQAbwAgAHMAbwBsAGEAcgAtAHIAZQBsAGEAdABpAHYAZQAgAHQAZQBtAHAAZQByAGEAdAB1AHIAZQAgACgAVABuAG8AcgBtACkAXABuACAAIAAgACAAIAAgACAAIABUAG4AbwByAG0ALAAgAFMAVwBJAFQAQwBIACgAXABuACAAIAAgACAAIAAgACAAIAAgACAAIAAgAG0AbwBkAGUALABcAG4AIAAgACAAIAAgACAAIAAgACAAIAAgACAAXAAiAFQAXAAiACwAIABpAG4AcAB1AHQALABcAG4AIAAgACAAIAAgACAAIAAgACAAIAAgACAAXAAiAEsAXAAiACwAIABpAG4AcAB1AHQAIAAvACAANQA3ADcAMAAsAFwAbgAgACAAIAAgACAAIAAgACAAIAAgACAAIABcACIATQBcACIALAAgAFMAUQBSAFQAKABpAG4AcAB1AHQAKQAsAFwAbgAgACAAIAAgACAAIAAgACAAIAAgACAAIABcACIAUgBcACIALAAgAGkAbgBwAHUAdAAgAF4AIAAoADEAIAAvACAAMQAuADgAKQAsAFwAbgAgACAAIAAgACAAIAAgACAAIAAgACAAIABcACIATABcACIALAAgAGkAbgBwAHUAdAAgAF4AIAAoADEAIAAvACAANwAuADYAKQAsAFwAbgAgACAAIAAgACAAIAAgACAAIAAgACAAIABcACIAVgBcACIALAAgAGkAbgBwAHUAdAAgAF4AIAAoAC0AMQAgAC8AIAA1ACkALABcAG4AIAAgACAAIAAgACAAIAAgACAAIAAgACAATgBBACgAKQBcAG4AIAAgACAAIAAgACAAIAAgACkALABcAG4AIAAgACAAIAAgACAAIAAgAFwAbgAgACAAIAAgACAAIAAgACAALwAvACAATgBvAHcAIABkAGUAcgBpAHYAZQAgAGEAbABsACAAbwB0AGgAZQByACAAYQB0AHQAcgBpAGIAdQB0AGUAcwAgAGYAcgBvAG0AIABUAG4AbwByAG0AXABuACAAIAAgACAAIAAgACAAIABLACwAIABUAG4AbwByAG0AIAAqACAANQA3ADcAMAAsAFwAbgAgACAAIAAgACAAIAAgACAATQAsACAAVABuAG8AcgBtACAAXgAgADIALABcAG4AIAAgACAAIAAgACAAIAAgAFIALAAgAFQAbgBvAHIAbQAgAF4AIAAxAC4AOAAsAFwAbgAgACAAIAAgACAAIAAgACAATAAsACAAVABuAG8AcgBtACAAXgAgADcALgA2ACwAXABuACAAIAAgACAAIAAgACAAIABWACwAIABUAG4AbwByAG0AIABeACAALQA1ACwAXABuACAAIAAgACAAIAAgACAAIABcAG4AIAAgACAAIAAgACAAIAAgAC8ALwAgAFIAbwB1AG4AZAAgAGUAdgBlAHIAeQB0AGgAaQBuAGcAIABhAG4AZAAgAGYAbwByAG0AYQB0ACAAYQBzACAAcwB0AHIAaQBuAGcAcwBcAG4AIAAgACAAIAAgACAAIAAgAGwAYQBiAGUAbABzACwAIABUAFIAQQBOAFMAUABPAFMARQAoAHsAXAAiAEsAXAAiACwAIABcACIAVABcACIALAAgAFwAIgBNAFwAIgAsACAAXAAiAFIAXAAiACwAIABcACIATABcACIALAAgAFwAIgBWAFwAIgB9ACkALABcAG4AIAAgACAAIAAgACAAIAAgAG8AdQB0AHAAdQB0AF8AdgBhAGwAdQBlAHMALAAgAFYAUwBUAEEAQwBLACgAXABuACAAIAAgACAAIAAgACAAIAAgACAAIAAgAFIATwBVAE4ARAAoAEsALAAgAHAAcgBlAGMAKQAsAFwAbgAgACAAIAAgACAAIAAgACAAIAAgACAAIABSAE8AVQBOAEQAKABUAG4AbwByAG0ALAAgAHAAcgBlAGMAKQAsAFwAbgAgACAAIAAgACAAIAAgACAAIAAgACAAIABSAE8AVQBOAEQAKABNACwAIABwAHIAZQBjACkALABcAG4AIAAgACAAIAAgACAAIAAgACAAIAAgACAAUgBPAFUATgBEACgAUgAsACAAcAByAGUAYwApACwAXABuACAAIAAgACAAIAAgACAAIAAgACAAIAAgAFIATwBVAE4ARAAoAEwALAAgAHAAcgBlAGMAKQAsAFwAbgAgACAAIAAgACAAIAAgACAAIAAgACAAIABSAE8AVQBOAEQAKABWACwAIABwAHIAZQBjACkAXABuACAAIAAgACAAIAAgACAAIAApACwAXABuACAAIAAgACAAIAAgACAAIABcAG4AIAAgACAAIAAgACAAIAAgAC8ALwAgAC0ALQAtACAATABhAGIAZQBsAHMAIAB3AGkAdABoACAAYQByAHIAbwB3ACAAbwBuACAAcwBlAGwAZQBjAHQAZQBkACAAbQBvAGQAZQAgAC0ALQAtAFwAbgAgACAAIAAgACAAIAAgACAAZgBsAGEAZwBnAGUAZABfAGwAYQBiAGUAbABzACwAIABCAFkAUgBPAFcAKABsAGEAYgBlAGwAcwAsACAATABBAE0AQgBEAEEAKAByAG8AdwAsACAASQBGACgAcgBvAHcAIAA9ACAAbQBvAGQAZQAsACAAcgBvAHcAIAAmACAAXAAiACAAlCdcACIALAAgAHIAbwB3ACkAKQApACwAXABuACAAIAAgACAAIAAgACAAIABcAG4AIAAgACAAIAAgACAAIAAgAC8ALwAgAFIAZQB0AHUAcgBuACAAbABhAGIAZQBsAGUAZAAgAHQAYQBiAGwAZQBcAG4AIAAgACAAIAAgACAAIAAgAEMASABPAE8AUwBFACgAewAxACwAIAAyAH0ALAAgAGYAbABhAGcAZwBlAGQAXwBsAGEAYgBlAGwAcwAsACAAbwB1AHQAcAB1AHQAXwB2AGEAbAB1AGUAcwApAFwAbgAgACAAIAAgACkAXABuACkAOwBcAG4AXABuAC8AKgAgAEEAUwBUAFIATwBfAEgAQQBCAEkAVABBAEIATABFAF8AWgBPAE4ARQBTADoAXABuACAAIAAgAFAAdQByAHAAbwBzAGUAOgAgAFIAZQB0AHUAcgBuAHMAIABoAGEAYgBpAHQAYQBiAGwAZQAgAHoAbwBuAGUAIABkAGEAdABhACAAYgBhAHMAZQBkACAAbwBuACAAcwB0AGUAbABsAGEAcgAgAGwAdQBtAGkAbgBvAHMAaQB0AHkALgBcAG4AXABuACAAIAAgAE0AbwBkAGUAcwA6AFwAbgAgACAAIAAtACAAXAAiAFQAQQBCAEwARQBcACIAIAAgACAAIACSISAAUgBlAHQAdQByAG4AcwAgAGEAIABmAHUAbABsACAAdABhAGIAbABlACAAbwBmACAAaQBuAG4AZQByAC8AbwB1AHQAZQByAC8AYQB2AGcALwBzAHAAYQBuACAAZABpAHMAdABhAG4AYwBlAHMAIABmAG8AcgAgAHoAbwBuAGUAcwAgAFoAMAATIFoANQAuAFwAbgAgACAAIAAtACAAXAAiAFYARQBSAFQASQBDAEEATABcACIAIACSISAAUgBlAHQAdQByAG4AcwAgAGEAIAB2AGUAcgB0AGkAYwBhAGwAIABsAGkAcwB0ACAAbwBmACAAcwBjAGEAbABlAGQAIABkAGkAcwB0AGEAbgBjAGUAcwAsACAAdwBpAHQAaAAgAE4ALQA+ACAAbQBhAHIAawBpAG4AZwAgAHQAaABlACAAbgB1AGMAbABlAGEAbAAgAHIAYQBkAGkAdQBzAC4AXABuACAAIAAgAC0AIABcACIASABPAFIASQBaAE8ATgBUAEEATABcACIAIACSISAAUgBlAHQAdQByAG4AcwAgAGEAIABoAG8AcgBpAHoAbwBuAHQAYQBsACAAcgBvAHcAIABvAGYAIAB0AGgAZQAgAHMAYQBtAGUAIAB2AGEAbAB1AGUAcwAgAGYAbwByACAAdQBzAGUAIABpAG4AIABpAG4AbABpAG4AZQAgAGQAaQBzAHAAbABhAHkALgBcAG4AXABuACAAIAAgAFAAYQByAGEAbQBlAHQAZQByAHMAOgBcAG4AIAAgACAALQAgAG0AbwBkAGUAIAAoAHIAZQBxAHUAaQByAGUAZAApADoAIABPAG4AZQAgAG8AZgAgAFwAIgBUAEEAQgBMAEUAXAAiACwAIABcACIAVgBFAFIAVABJAEMAQQBMAFwAIgAsACAAbwByACAAXAAiAEgATwBSAEkAWgBPAE4AVABBAEwAXAAiAC4AXABuACAAIAAgAC0AIABsAHUAbQAgACgAbwBwAHQAaQBvAG4AYQBsACkAOgAgAFMAdABlAGwAbABhAHIAIABsAHUAbQBpAG4AbwBzAGkAdAB5ACAAaQBuACAAcwBvAGwAYQByACAAdQBuAGkAdABzAC4AIABSAGUAcQB1AGkAcgBlAGQAIABmAG8AcgAgAFYARQBSAFQASQBDAEEATAAgAGEAbgBkACAASABPAFIASQBaAE8ATgBUAEEATAAuAFwAbgAgACAAIAAtACAAcAByAGUAYwBpAHMAaQBvAG4AIAAoAG8AcAB0AGkAbwBuAGEAbAApADoAIABOAHUAbQBiAGUAcgAgAG8AZgAgAGQAZQBjAGkAbQBhAGwAIABwAGwAYQBjAGUAcwAgACgAZABlAGYAYQB1AGwAdAAgAD0AIAAzACkAXABuAFwAbgAgACAAIABaAG8AbgBlAHMAIAAoAFoAMAATIFoANQApACAAcgBlAHAAcgBlAHMAZQBuAHQAIABuAGUAcwB0AGUAZAAgAGMAaQByAGMAdQBtAHMAdABlAGwAbABhAHIAIABoAGEAYgBpAHQAYQBiAGkAbABpAHQAeQAgAGIAYQBuAGQAcwA6AFwAbgAgACAAIAAtACAAWgAwADoAIAAoAHQAbwBvACAAaABvAHQAKQBcAG4AIAAgACAALQAgAFoAMQA6ACAAKABpAG4AbgBlAHIAIABlAGQAZwBlACkAXABuACAAIAAgAC0AIABaADIAOgAgACgAaQBuAG4AZQByACAAdABlAG0AcABlAHIAYQB0AGUAKQBcAG4AIAAgACAALQAgAFoAMwA6ACAAKABvAHUAdABlAHIAIAB0AGUAbQBwAGUAcgBhAHQAZQApAFwAbgAgACAAIAAtACAAWgA0ADoAIAAoAG8AdQB0AGUAcgAgAGUAZABnAGUAKQBcAG4AIAAgACAALQAgAFoANQA6ACAAKAB0AG8AbwAgAGMAbwBsAGQAKQBcAG4AXABuACAAIAAgAEUAeABhAG0AcABsAGUAIAB1AHMAYQBnAGUAOgBcAG4AIAAgACAAQQBTAFQAUgBPAF8ASABBAEIASQBUAEEAQgBMAEUAXwBaAE8ATgBFAFMAKABcACIAVABBAEIATABFAFwAIgApACAAIAAgACAAIAAgACAAIAAgACAAIAAgAJIhIABSAGUAdAB1AHIAbgBzACAAYgBhAHMAZQAgAHIAZQBmAGUAcgBlAG4AYwBlACAAYwBoAGEAcgB0AFwAbgAgACAAIABBAFMAVABSAE8AXwBIAEEAQgBJAFQAQQBCAEwARQBfAFoATwBOAEUAUwAoAFwAIgBWAEUAUgBUAEkAQwBBAEwAXAAiACwAIAAxAC4AMgA1ACkAIAAgACAAkiEgAFIAZQB0AHUAcgBuAHMAIAB2AGUAcgB0AGkAYwBhAGwAIABkAGkAcwB0AGEAbgBjAGUAcwAgAHMAYwBhAGwAZQBkACAAdABvACAAcwB0AGEAcgAgAHcAaQB0AGgAIABMACAAPQAgADEALgAyADUAXABuACAAIAAgAEEAUwBUAFIATwBfAEgAQQBCAEkAVABBAEIATABFAF8AWgBPAE4ARQBTACgAXAAiAEgATwBSAEkAWgBPAE4AVABBAEwAXAAiACwAIAAxAC4AMgA1ACkAIACSISAAUgBlAHQAdQByAG4AcwAgAHMAYQBtAGUAIABhAHMAIAByAG8AdwBcAG4AXABuACAAIAAgAE4AbwB0AGUAcwA6AFwAbgAgACAAIAAtACAATgB1AGMAbABlAGEAbAAgAHIAYQBkAGkAdQBzACAAaQBzACAAcwBxAHIAdAAoAEwAKQAgAGEAbgBkACAAdQBzAGUAZAAgAGEAcwAgAGEAbgBjAGgAbwByACAAYgBlAHQAdwBlAGUAbgAgAFoAMgATIFoAMwAuAFwAbgAgACAAIAAtACAASQBuAHAAdQB0ACAAaQBzACAAaQBnAG4AbwByAGUAZAAgAGYAbwByACAAbQBvAGQAZQAgAFwAIgBUAEEAQgBMAEUAXAAiAC4AXABuACoALwBcAG4AQQBTAFQAUgBPAF8ASABBAEIASQBUAEEAQgBMAEUAXwBaAE8ATgBFAFMAIAA9ACAATABBAE0AQgBEAEEAKABtAG8AZABlACwAIABbAGwAdQBtAF0ALAAgAFsAcAByAGUAYwBpAHMAaQBvAG4AXQAsAFwAbgAgACAAIAAgAEwARQBUACgAXABuACAAIAAgACAAIAAgACAAIABtAG8AZABlACwAIABVAFAAUABFAFIAKABtAG8AZABlACkALABcAG4AIAAgACAAIAAgACAAIAAgAHAAcgBlAGMALAAgAEkARgAoAEkAUwBPAE0ASQBUAFQARQBEACgAcAByAGUAYwBpAHMAaQBvAG4AKQAsACAAMwAsACAAcAByAGUAYwBpAHMAaQBvAG4AKQAsAFwAbgAgACAAIAAgACAAIAAgACAAXABuACAAIAAgACAAIAAgACAAIAAvAC8AIABaAG8AbgBlACAAYwBvAGUAZgBmAGkAYwBpAGUAbgB0AHMAXABuACAAIAAgACAAIAAgACAAIAB6AG8AbgBlAF8AbABhAGIAZQBsAHMALAAgAHsAXAAiAFoAMABcACIAOwAgAFwAIgBaADEAXAAiADsAIABcACIAWgAyAFwAIgA7ACAAXAAiAFoAMwBcACIAOwAgAFwAIgBaADQAXAAiADsAIABcACIAWgA1AFwAIgB9ACwAXABuACAAIAAgACAAIAAgACAAIABpAG4AbgBlAHIAXwBmAGEAYwB0AG8AcgBzACwAIAB7ADAAOwAgADAALgA1ADsAIAAwAC4ANwA1ADsAIAAwAC4AOQA1ADsAIAAxAC4AMwA4ADUAOwAgADEALgA3ADcAfQAsAFwAbgAgACAAIAAgACAAIAAgACAAbwB1AHQAZQByAF8AZgBhAGMAdABvAHIAcwAsACAAewAwAC4ANQA7ACAAMAAuADcANQA7ACAAMAAuADkANQA7ACAAMQAuADMAOAA1ADsAIAAxAC4ANwA3ADsAIAA0AC4AOAA1AH0ALABcAG4AIAAgACAAIAAgACAAIAAgAFwAbgAgACAAIAAgACAAIAAgACAALwAvACAAUAByAGUAYwBvAG0AcAB1AHQAZQAgAGEAdgBlAHIAYQBnAGUAIABhAG4AZAAgAHMAcABhAG4AXABuACAAIAAgACAAIAAgACAAIABhAHYAZwBfAGYAYQBjAHQAbwByAHMALAAgACgAaQBuAG4AZQByAF8AZgBhAGMAdABvAHIAcwAgACsAIABvAHUAdABlAHIAXwBmAGEAYwB0AG8AcgBzACkAIAAvACAAMgAsAFwAbgAgACAAIAAgACAAIAAgACAAcwBwAGEAbgBfAGYAYQBjAHQAbwByAHMALAAgAG8AdQB0AGUAcgBfAGYAYQBjAHQAbwByAHMAIAAtACAAaQBuAG4AZQByAF8AZgBhAGMAdABvAHIAcwAsAFwAbgAgACAAIAAgACAAIAAgACAAXABuACAAIAAgACAAIAAgACAAIAAvAC8AIABOAHUAYwBsAGUAYQBsACAAKABmAG8AcgAgAHMAYwBhAGwAaQBuAGcAKQBcAG4AIAAgACAAIAAgACAAIAAgAG4AdQBjAGwAZQBhAGwALAAgAFMAUQBSAFQAKABJAEYAKABJAFMATwBNAEkAVABUAEUARAAoAGwAdQBtACkALAAgADEALAAgAGwAdQBtACkAKQAsAFwAbgAgACAAIAAgACAAIAAgACAAXABuACAAIAAgACAAIAAgACAAIAAvAC8AIABDAG8AbQBwAHUAdABlACAAcwBjAGEAbABlAGQAIABkAGkAcwB0AGEAbgBjAGUAcwBcAG4AIAAgACAAIAAgACAAIAAgAGkAbgBuAGUAcgBfAHMAYwBhAGwAZQBkACwAIABSAE8AVQBOAEQAKABuAHUAYwBsAGUAYQBsACAAKgAgAGkAbgBuAGUAcgBfAGYAYQBjAHQAbwByAHMALAAgAHAAcgBlAGMAKQAsAFwAbgAgACAAIAAgACAAIAAgACAAbwB1AHQAZQByAF8AcwBjAGEAbABlAGQALAAgAFIATwBVAE4ARAAoAG4AdQBjAGwAZQBhAGwAIAAqACAAbwB1AHQAZQByAF8AZgBhAGMAdABvAHIAcwAsACAAcAByAGUAYwApACwAXABuACAAIAAgACAAIAAgACAAIABhAHYAZwBfAHMAYwBhAGwAZQBkACwAIABSAE8AVQBOAEQAKABuAHUAYwBsAGUAYQBsACAAKgAgAGEAdgBnAF8AZgBhAGMAdABvAHIAcwAsACAAcAByAGUAYwApACwAXABuACAAIAAgACAAIAAgACAAIABzAHAAYQBuAF8AcwBjAGEAbABlAGQALAAgAFIATwBVAE4ARAAoAG4AdQBjAGwAZQBhAGwAIAAqACAAcwBwAGEAbgBfAGYAYQBjAHQAbwByAHMALAAgAHAAcgBlAGMAKQAsAFwAbgAgACAAIAAgACAAIAAgACAAXABuACAAIAAgACAAIAAgACAAIAAvAC8AIABGAG8AcgBtAGEAdAB0AGUAZAAgAG8AdQB0AHAAdQB0AFwAbgAgACAAIAAgACAAIAAgACAAdgBlAHIAdABpAGMAYQBsAF8AbABhAGIAZQBsAHMALAAgAHsAXAAiADAAOgAgAFwAIgAsACAAXAAiADEAOgAgAFwAIgAsACAAXAAiADIAOgAgAFwAIgAsACAAXAAiAE4AIACUJ1wAIgAsACAAXAAiADMAOgAgAFwAIgAsACAAXAAiADQAOgAgAFwAIgAsACAAXAAiADUAOgAgAFwAIgB9ACwAXABuACAAIAAgACAAIAAgACAAIAB2AGUAcgB0AGkAYwBhAGwAXwB2AGEAbAB1AGUAcwAsACAAVgBTAFQAQQBDAEsAKABcAG4AIAAgACAAIAAgACAAIAAgACAAIAAgACAAUgBPAFUATgBEACgASQBOAEQARQBYACgAaQBuAG4AZQByAF8AZgBhAGMAdABvAHIAcwAsACAAMgApACAAKgAgAG4AdQBjAGwAZQBhAGwALAAgAHAAcgBlAGMAKQAsAFwAbgAgACAAIAAgACAAIAAgACAAIAAgACAAIABSAE8AVQBOAEQAKABJAE4ARABFAFgAKABpAG4AbgBlAHIAXwBmAGEAYwB0AG8AcgBzACwAIAAzACkAIAAqACAAbgB1AGMAbABlAGEAbAAsACAAcAByAGUAYwApACwAXABuACAAIAAgACAAIAAgACAAIAAgACAAIAAgAFIATwBVAE4ARAAoAEkATgBEAEUAWAAoAGkAbgBuAGUAcgBfAGYAYQBjAHQAbwByAHMALAAgADQAKQAgACoAIABuAHUAYwBsAGUAYQBsACwAIABwAHIAZQBjACkALABcAG4AIAAgACAAIAAgACAAIAAgACAAIAAgACAAUgBPAFUATgBEACgAbgB1AGMAbABlAGEAbAAsACAAcAByAGUAYwApACwAXABuACAAIAAgACAAIAAgACAAIAAgACAAIAAgAFIATwBVAE4ARAAoAEkATgBEAEUAWAAoAG8AdQB0AGUAcgBfAGYAYQBjAHQAbwByAHMALAAgADQAKQAgACoAIABuAHUAYwBsAGUAYQBsACwAIABwAHIAZQBjACkALABcAG4AIAAgACAAIAAgACAAIAAgACAAIAAgACAAUgBPAFUATgBEACgASQBOAEQARQBYACgAbwB1AHQAZQByAF8AZgBhAGMAdABvAHIAcwAsACAANQApACAAKgAgAG4AdQBjAGwAZQBhAGwALAAgAHAAcgBlAGMAKQAsAFwAbgAgACAAIAAgACAAIAAgACAAIAAgACAAIABSAE8AVQBOAEQAKABJAE4ARABFAFgAKABvAHUAdABlAHIAXwBmAGEAYwB0AG8AcgBzACwAIAA2ACkAIAAqACAAbgB1AGMAbABlAGEAbAAsACAAcAByAGUAYwApAFwAbgAgACAAIAAgACAAIAAgACAAKQAsAFwAbgAgACAAIAAgACAAIAAgACAAXABuACAAIAAgACAAIAAgACAAIAAvAC8AIABSAGUAdAB1AHIAbgAgAGwAbwBnAGkAYwBcAG4AIAAgACAAIAAgACAAIAAgAHIAZQBzAHUAbAB0ACwAIABTAFcASQBUAEMASAAoAFwAbgAgACAAIAAgACAAIAAgACAAIAAgACAAIABtAG8AZABlACwAXABuACAAIAAgACAAIAAgACAAIAAgACAAIAAgAFwAIgBTAFQAQQBOAEQAQQBSAEQAXAAiACwAIABDAEgATwBPAFMARQAoAFwAbgAgACAAIAAgACAAIAAgACAAIAAgACAAIAAgACAAIAAgAHsAMQAsACAAMgAsACAAMwAsACAANAAsACAANQB9ACwAXABuACAAIAAgACAAIAAgACAAIAAgACAAIAAgACAAIAAgACAAVgBTAFQAQQBDAEsAKABcACIAWgBvAG4AZQBcACIALAAgAHoAbwBuAGUAXwBsAGEAYgBlAGwAcwApACwAXABuACAAIAAgACAAIAAgACAAIAAgACAAIAAgACAAIAAgACAAVgBTAFQAQQBDAEsAKABcACIASQBuAG4AZQByAFwAIgAsACAAaQBuAG4AZQByAF8AZgBhAGMAdABvAHIAcwApACwAXABuACAAIAAgACAAIAAgACAAIAAgACAAIAAgACAAIAAgACAAVgBTAFQAQQBDAEsAKABcACIATwB1AHQAZQByAFwAIgAsACAAbwB1AHQAZQByAF8AZgBhAGMAdABvAHIAcwApACwAXABuACAAIAAgACAAIAAgACAAIAAgACAAIAAgACAAIAAgACAAVgBTAFQAQQBDAEsAKABcACIAQQB2AGUAcgBhAGcAZQBcACIALAAgAGEAdgBnAF8AZgBhAGMAdABvAHIAcwApACwAXABuACAAIAAgACAAIAAgACAAIAAgACAAIAAgACAAIAAgACAAVgBTAFQAQQBDAEsAKABcACIAUwBwAGEAbgBcACIALAAgAHMAcABhAG4AXwBmAGEAYwB0AG8AcgBzACkAXABuACAAIAAgACAAIAAgACAAIAAgACAAIAAgACkALABcAG4AIAAgACAAIAAgACAAIAAgACAAIAAgACAAXAAiAFYARQBSAFQASQBDAEEATABcACIALAAgAEwARQBUACgAXABuACAAIAAgACAAIAAgACAAIAAgACAAIAAgACAAIAAgACAAbABhAGIAZQBsAHMALAAgAHsAXAAiADAAOgBcACIALAAgAFwAIgAxADoAXAAiACwAIABcACIAMgA6AFwAIgAsACAAXAAiAE4AIACUJ1wAIgAsACAAXAAiADMAOgBcACIALAAgAFwAIgA0ADoAXAAiACwAIABcACIANQA6AFwAIgB9ACwAXABuACAAIAAgACAAIAAgACAAIAAgACAAIAAgACAAIAAgACAAcwBjAGEAbABlAGQAXwB2AGEAbAB1AGUAcwAsACAAUgBPAFUATgBEACgAbgB1AGMAbABlAGEAbAAgACoAIAB7ADAALgA1ACwAIAAwAC4ANwA1ACwAIAAwAC4AOQA1ACwAIAAxACwAIAAxAC4AMwA4ADUALAAgADEALgA3ADcALAAgADQALgA4ADUAfQAsACAAcAByAGUAYwApACwAXABuACAAIAAgACAAIAAgACAAIAAgACAAIAAgACAAIAAgACAAVABSAEEATgBTAFAATwBTAEUAKABWAFMAVABBAEMASwAoAGwAYQBiAGUAbABzACwAIABzAGMAYQBsAGUAZABfAHYAYQBsAHUAZQBzACkAKQBcAG4AIAAgACAAIAAgACAAIAAgACAAIAAgACAAKQAsAFwAbgAgACAAIAAgACAAIAAgACAAIAAgACAAIABcACIASABPAFIASQBaAE8ATgBUAEEATABcACIALAAgAEgAUwBUAEEAQwBLACgAXABuACAAIAAgACAAIAAgACAAIAAgACAAIAAgACAAIAAgACAAUgBPAFUATgBEACgASQBOAEQARQBYACgAaQBuAG4AZQByAF8AZgBhAGMAdABvAHIAcwAsACAAMgApACAAKgAgAG4AdQBjAGwAZQBhAGwALAAgAHAAcgBlAGMAKQAsAFwAbgAgACAAIAAgACAAIAAgACAAIAAgACAAIAAgACAAIAAgAFIATwBVAE4ARAAoAEkATgBEAEUAWAAoAGkAbgBuAGUAcgBfAGYAYQBjAHQAbwByAHMALAAgADMAKQAgACoAIABuAHUAYwBsAGUAYQBsACwAIABwAHIAZQBjACkALABcAG4AIAAgACAAIAAgACAAIAAgACAAIAAgACAAIAAgACAAIABSAE8AVQBOAEQAKABJAE4ARABFAFgAKABpAG4AbgBlAHIAXwBmAGEAYwB0AG8AcgBzACwAIAA0ACkAIAAqACAAbgB1AGMAbABlAGEAbAAsACAAcAByAGUAYwApACwAXABuACAAIAAgACAAIAAgACAAIAAgACAAIAAgACAAIAAgACAAUgBPAFUATgBEACgAbgB1AGMAbABlAGEAbAAsACAAcAByAGUAYwApACwAXABuACAAIAAgACAAIAAgACAAIAAgACAAIAAgACAAIAAgACAAUgBPAFUATgBEACgASQBOAEQARQBYACgAbwB1AHQAZQByAF8AZgBhAGMAdABvAHIAcwAsACAANAApACAAKgAgAG4AdQBjAGwAZQBhAGwALAAgAHAAcgBlAGMAKQAsAFwAbgAgACAAIAAgACAAIAAgACAAIAAgACAAIAAgACAAIAAgAFIATwBVAE4ARAAoAEkATgBEAEUAWAAoAG8AdQB0AGUAcgBfAGYAYQBjAHQAbwByAHMALAAgADUAKQAgACoAIABuAHUAYwBsAGUAYQBsACwAIABwAHIAZQBjACkALABcAG4AIAAgACAAIAAgACAAIAAgACAAIAAgACAAIAAgACAAIABSAE8AVQBOAEQAKABJAE4ARABFAFgAKABvAHUAdABlAHIAXwBmAGEAYwB0AG8AcgBzACwAIAA2ACkAIAAqACAAbgB1AGMAbABlAGEAbAAsACAAcAByAGUAYwApAFwAbgAgACAAIAAgACAAIAAgACAAIAAgACAAIAApACwAXABuACAAIAAgACAAIAAgACAAIAAgACAAIAAgAFwAIgBJAG4AdgBhAGwAaQBkACAAbQBvAGQAZQBcACIAXABuACAAIAAgACAAIAAgACAAIAApACwAXABuACAAIAAgACAAIAAgACAAIAByAGUAcwB1AGwAdABcAG4AIAAgACAAIAApAFwAbgApADsAXABuAFwAbgAvACoAIABOAEEAUwBUAFIATwBfAEgAQQBCAEkAVABBAEIATABFAF8AWgBPAE4ARQBTADoAXABuACAAIAAgAFAAdQByAHAAbwBzAGUAOgAgAFAAcgBvAHYAaQBkAGUAcwAgAGkAbgBmAG8AcgBtAGEAdABpAG8AbgAgAGEAYgBvAHUAdAAgAHMAdABlAGwAbABhAHIAIABoAGEAYgBpAHQAYQBiAGwAZQAgAHoAbwBuAGUAcwAgAGEAYwByAG8AcwBzACAAbQB1AGwAdABpAHAAbABlACAAZABpAHMAcABsAGEAeQAgAG0AbwBkAGUAcwA6AFwAbgAgACAAIAAgACAAIAAgACAAIAAgACAAIAAtACAAUwBUAEEATgBEAEEAUgBEADoAIABSAGUAdAB1AHIAbgBzACAAYQAgAGYAaQB4AGUAZAAgAHQAYQBiAGwAZQAgAG8AZgAgAGkAbgBuAGUAcgAvAG8AdQB0AGUAcgAgAGIAbwB1AG4AZABzACAAZgBvAHIAIABaADAAEyBaADUAIAB6AG8AbgBlAHMAIABpAG4AIABBAFUAXABuACAAIAAgACAAIAAgACAAIAAgACAAIAAgAC0AIABUAEEAQgBMAEUAOgAgAFMAYwBhAGwAZQBzACAAdABoAGUAIABTAFQAQQBOAEQAQQBSAEQAIAB6AG8AbgBlAHMAIABiAGEAcwBlAGQAIABvAG4AIABzAHQAZQBsAGwAYQByACAAbAB1AG0AaQBuAG8AcwBpAHQAeQBcAG4AIAAgACAAIAAgACAAIAAgACAAIAAgACAALQAgAFYARQBSAFQASQBDAEEATAA6ACAAUgBlAHQAdQByAG4AcwAgAGEAIAB2AGUAcgB0AGkAYwBhAGwAIABsAGkAcwB0ACAAbwBmACAAegBvAG4AZQAgAGwAYQBiAGUAbABzACAAYQBuAGQAIABkAGkAcwB0AGEAbgBjAGUAcwAgAGIAYQBzAGUAZAAgAG8AbgAgAGwAdQBtAGkAbgBvAHMAaQB0AHkAXABuACAAIAAgACAAIAAgACAAIAAgACAAIAAgAC0AIABIAE8AUgBJAFoATwBOAFQAQQBMADoAIABSAGUAdAB1AHIAbgBzACAAYQAgAHMAaQBuAGcAbABlAC0AcgBvAHcAIABzAHUAbQBtAGEAcgB5ACAAbwBmACAAcwBjAGEAbABlAGQAIABkAGkAcwB0AGEAbgBjAGUAcwBcAG4AXABuACAAIAAgAFAAYQByAGEAbQBlAHQAZQByAHMAOgBcAG4AIAAgACAALQAgAG0AbwBkAGUAIAAoAHIAZQBxAHUAaQByAGUAZAApADoAIABcACIAUwBUAEEATgBEAEEAUgBEAFwAIgAsACAAXAAiAFQAQQBCAEwARQBcACIALAAgAFwAIgBWAEUAUgBUAEkAQwBBAEwAXAAiACwAIABvAHIAIABcACIASABPAFIASQBaAE8ATgBUAEEATABcACIAXABuACAAIAAgAC0AIABsAHUAbQAgACgAbwBwAHQAaQBvAG4AYQBsACkAOgAgAFMAdABlAGwAbABhAHIAIABsAHUAbQBpAG4AbwBzAGkAdAB5ACAAaQBuACAAcwBvAGwAYQByACAAdQBuAGkAdABzACAAKABvAG4AbAB5ACAAcgBlAHEAdQBpAHIAZQBkACAAZgBvAHIAIABUAEEAQgBMAEUALAAgAFYARQBSAFQASQBDAEEATAAsACAAbwByACAASABPAFIASQBaAE8ATgBUAEEATAAgAG0AbwBkAGUAcwApAFwAbgAgACAAIAAtACAAcAByAGUAYwAgACgAbwBwAHQAaQBvAG4AYQBsACkAOgAgAE4AdQBtAGIAZQByACAAbwBmACAAZABlAGMAaQBtAGEAbAAgAHAAbABhAGMAZQBzACAAdABvACAAcgBvAHUAbgBkACAAZABpAHMAdABhAG4AYwBlAHMAIAB0AG8AIAAoAGQAZQBmAGEAdQBsAHQAIAA9ACAAMwApAFwAbgBcAG4AIAAgACAARQB4AGEAbQBwAGwAZQA6AFwAbgAgACAAIABBAFMAVABSAE8AXwBIAEEAQgBJAFQAQQBCAEwARQBfAFoATwBOAEUAUwAoAFwAIgBTAFQAQQBOAEQAQQBSAEQAXAAiACkAXABuACAAIAAgAEEAUwBUAFIATwBfAEgAQQBCAEkAVABBAEIATABFAF8AWgBPAE4ARQBTACgAXAAiAFQAQQBCAEwARQBcACIALAAgADMAKQBcAG4AIAAgACAAQQBTAFQAUgBPAF8ASABBAEIASQBUAEEAQgBMAEUAXwBaAE8ATgBFAFMAKABcACIAVgBFAFIAVABJAEMAQQBMAFwAIgAsACAAMwApAFwAbgAgACAAIABBAFMAVABSAE8AXwBIAEEAQgBJAFQAQQBCAEwARQBfAFoATwBOAEUAUwAoAFwAIgBIAE8AUgBJAFoATwBOAFQAQQBMAFwAIgAsACAAMwApAFwAbgAqAC8AXABuAE4AQQBTAFQAUgBPAF8ASABBAEIASQBUAEEAQgBMAEUAXwBaAE8ATgBFAFMAIAA9ACAATABBAE0AQgBEAEEAKABtAG8AZABlACwAIABbAGwAdQBtAF0ALAAgAFsAcAByAGUAYwBdACwAXABuACAAIAAgACAATABFAFQAKABcAG4AIAAgACAAIAAgACAAIAAgAC8ALwAgAC0ALQAtACAARABlAGYAYQB1AGwAdABzACAALQAtAC0AXABuACAAIAAgACAAIAAgACAAIABkAGUAYwAsACAASQBGACgASQBTAE8ATQBJAFQAVABFAEQAKABwAHIAZQBjACkALAAgADMALAAgAHAAcgBlAGMAKQAsAFwAbgAgACAAIAAgACAAIAAgACAATAAsACAASQBGACgASQBTAE8ATQBJAFQAVABFAEQAKABsAHUAbQApACwAIAAxACwAIABsAHUAbQApACwAXABuACAAIAAgACAAIAAgACAAIABuAHUAYwAsACAAUwBRAFIAVAAoAEwAKQAsAFwAbgAgACAAIAAgACAAIAAgACAAXABuACAAIAAgACAAIAAgACAAIAAvAC8AIAAtAC0ALQAgAFoAbwBuAGUAIABiAGEAcwBlACAAZABhAHQAYQAgAC0ALQAtAFwAbgAgACAAIAAgACAAIAAgACAAegBvAG4AZQBfAGwAYQBiAGUAbABzACwAIAB7AFwAIgBaADAAXAAiACwAIABcACIAWgAxAFwAIgAsACAAXAAiAFoAMgBcACIALAAgAFwAIgBaADMAXAAiACwAIABcACIAWgA0AFwAIgAsACAAXAAiAFoANQBcACIAfQAsAFwAbgAgACAAIAAgACAAIAAgACAAaQBuAG4AZQByAF8AZgBhAGMAdABvAHIAcwAsACAAewAwACwAIAAwAC4ANQAsACAAMAAuADcANQAsACAAMAAuADkANQAsACAAMQAuADMAOAA1ACwAIAAxAC4ANwA3AH0ALABcAG4AIAAgACAAIAAgACAAIAAgAG8AdQB0AGUAcgBfAGYAYQBjAHQAbwByAHMALAAgAHsAMAAuADUALAAgADAALgA3ADUALAAgADAALgA5ADUALAAgADEALgAzADgANQAsACAAMQAuADcANwAsACAANAAuADgANQB9ACwAXABuACAAIAAgACAAIAAgACAAIABhAHYAZwBfAGYAYQBjAHQAbwByAHMALAAgAHsAMAAuADIANQAsACAAMAAuADYAMgA1ACwAIAAwAC4AOAA1ACwAIAAxAC4AMQA2ADcANQAsACAAMQAuADUANwA3ADUALAAgADMALgAzADEAfQAsAFwAbgAgACAAIAAgACAAIAAgACAAcwBwAGEAbgBfAGYAYQBjAHQAbwByAHMALAAgAHsAMAAuADUALAAgADAALgAyADUALAAgADAALgAyACwAIAAwAC4ANAAzADUALAAgADAALgAzADgANQAsACAAMwAuADAAOAB9ACwAXABuACAAIAAgACAAIAAgACAAIABcAG4AIAAgACAAIAAgACAAIAAgAC8ALwAgAC0ALQAtACAAUwBjAGEAbABlAGQAIAB2AGEAbAB1AGUAcwAgAC0ALQAtAFwAbgAgACAAIAAgACAAIAAgACAAaQBuAG4AZQByAF8AcwBjAGEAbABlAGQALAAgAFIATwBVAE4ARAAoAG4AdQBjACAAKgAgAGkAbgBuAGUAcgBfAGYAYQBjAHQAbwByAHMALAAgAGQAZQBjACkALABcAG4AIAAgACAAIAAgACAAIAAgAG8AdQB0AGUAcgBfAHMAYwBhAGwAZQBkACwAIABSAE8AVQBOAEQAKABuAHUAYwAgACoAIABvAHUAdABlAHIAXwBmAGEAYwB0AG8AcgBzACwAIABkAGUAYwApACwAXABuACAAIAAgACAAIAAgACAAIABhAHYAZwBfAHMAYwBhAGwAZQBkACwAIABSAE8AVQBOAEQAKABuAHUAYwAgACoAIABhAHYAZwBfAGYAYQBjAHQAbwByAHMALAAgAGQAZQBjACkALABcAG4AIAAgACAAIAAgACAAIAAgAHMAcABhAG4AXwBzAGMAYQBsAGUAZAAsACAAUgBPAFUATgBEACgAbgB1AGMAIAAqACAAcwBwAGEAbgBfAGYAYQBjAHQAbwByAHMALAAgAGQAZQBjACkALABcAG4AIAAgACAAIAAgACAAIAAgAFwAbgAgACAAIAAgACAAIAAgACAALwAvACAALQAtAC0AIABUAGEAYgBsAGUAOgAgAFMAVABBAE4ARABBAFIARAAgAGEAbgBkACAAVABBAEIATABFACAAbQBvAGQAZQBzACAALQAtAC0AXABuACAAIAAgACAAIAAgACAAIAByAG8AdwBfADEALAAgAFYAUwBUAEEAQwBLACgAXAAiAFoAbwBuAGUAXAAiACwAIAB6AG8AbgBlAF8AbABhAGIAZQBsAHMAKQAsAFwAbgAgACAAIAAgACAAIAAgACAAcgBvAHcAXwAyACwAIABWAFMAVABBAEMASwAoAFwAIgBJAG4AbgBlAHIAXAAiACwAIABJAEYAKABtAG8AZABlACAAPQAgAFwAIgBTAFQAQQBOAEQAQQBSAEQAXAAiACwAIABpAG4AbgBlAHIAXwBmAGEAYwB0AG8AcgBzACwAIABpAG4AbgBlAHIAXwBzAGMAYQBsAGUAZAApACkALABcAG4AIAAgACAAIAAgACAAIAAgAHIAbwB3AF8AMwAsACAAVgBTAFQAQQBDAEsAKABcACIATwB1AHQAZQByAFwAIgAsACAASQBGACgAbQBvAGQAZQAgAD0AIABcACIAUwBUAEEATgBEAEEAUgBEAFwAIgAsACAAbwB1AHQAZQByAF8AZgBhAGMAdABvAHIAcwAsACAAbwB1AHQAZQByAF8AcwBjAGEAbABlAGQAKQApACwAXABuACAAIAAgACAAIAAgACAAIAByAG8AdwBfADQALAAgAFYAUwBUAEEAQwBLACgAXAAiAEEAdgBlAHIAYQBnAGUAXAAiACwAIABJAEYAKABtAG8AZABlACAAPQAgAFwAIgBTAFQAQQBOAEQAQQBSAEQAXAAiACwAIABhAHYAZwBfAGYAYQBjAHQAbwByAHMALAAgAGEAdgBnAF8AcwBjAGEAbABlAGQAKQApACwAXABuACAAIAAgACAAIAAgACAAIAByAG8AdwBfADUALAAgAFYAUwBUAEEAQwBLACgAXAAiAFMAcABhAG4AXAAiACwAIABJAEYAKABtAG8AZABlACAAPQAgAFwAIgBTAFQAQQBOAEQAQQBSAEQAXAAiACwAIABzAHAAYQBuAF8AZgBhAGMAdABvAHIAcwAsACAAcwBwAGEAbgBfAHMAYwBhAGwAZQBkACkAKQAsAFwAbgAgACAAIAAgACAAIAAgACAAXABuACAAIAAgACAAIAAgACAAIAAvAC8AIAAtAC0ALQAgAFYAZQByAHQAaQBjAGEAbAAgAG0AbwBkAGUAIABvAHUAdABwAHUAdAAgAC0ALQAtAFwAbgAgACAAIAAgACAAIAAgACAAdgBlAHIAdABpAGMAYQBsAF8AbABhAGIAZQBsAHMALAAgAHsAXAAiADAAOgBcACIALAAgAFwAIgAxADoAXAAiACwAIABcACIAMgA6AFwAIgAsACAAXAAiAE4AIACUJ1wAIgAsACAAXAAiADMAOgBcACIALAAgAFwAIgA0ADoAXAAiACwAIABcACIANQA6AFwAIgB9ACwAXABuACAAIAAgACAAIAAgACAAIAB2AGUAcgB0AGkAYwBhAGwAXwB2AGEAbAB1AGUAcwAsACAAUgBPAFUATgBEACgAewAwAC4ANQAsACAAMAAuADcANQAsACAAMAAuADkANQAsACAAMQAsACAAMQAuADMAOAA1ACwAIAAxAC4ANwA3ACwAIAA0AC4AOAA1AH0AIAAqACAAbgB1AGMALAAgAGQAZQBjACkALABcAG4AIAAgACAAIAAgACAAIAAgAFwAbgAgACAAIAAgACAAIAAgACAALwAvACAALQAtAC0AIABIAG8AcgBpAHoAbwBuAHQAYQBsACAAbQBvAGQAZQAgAG8AdQB0AHAAdQB0ACAALQAtAC0AXABuACAAIAAgACAAIAAgACAAIABoAG8AcgBpAHoAbwBuAHQAYQBsAF8AdgBhAGwAdQBlAHMALAAgAEgAUwBUAEEAQwBLACgAXABuACAAIAAgACAAIAAgACAAIAAgACAAIAAgAFIATwBVAE4ARAAoADAALgA1ACAAKgAgAG4AdQBjACwAIABkAGUAYwApACwAXABuACAAIAAgACAAIAAgACAAIAAgACAAIAAgAFIATwBVAE4ARAAoADAALgA3ADUAIAAqACAAbgB1AGMALAAgAGQAZQBjACkALABcAG4AIAAgACAAIAAgACAAIAAgACAAIAAgACAAUgBPAFUATgBEACgAMAAuADkANQAgACoAIABuAHUAYwAsACAAZABlAGMAKQAsAFwAbgAgACAAIAAgACAAIAAgACAAIAAgACAAIABSAE8AVQBOAEQAKAAxACAAKgAgAG4AdQBjACwAIABkAGUAYwApACwAXABuACAAIAAgACAAIAAgACAAIAAgACAAIAAgAFIATwBVAE4ARAAoADEALgAzADgANQAgACoAIABuAHUAYwAsACAAZABlAGMAKQAsAFwAbgAgACAAIAAgACAAIAAgACAAIAAgACAAIABSAE8AVQBOAEQAKAAxAC4ANwA3ACAAKgAgAG4AdQBjACwAIABkAGUAYwApACwAXABuACAAIAAgACAAIAAgACAAIAAgACAAIAAgAFIATwBVAE4ARAAoADQALgA4ADUAIAAqACAAbgB1AGMALAAgAGQAZQBjACkAXABuACAAIAAgACAAIAAgACAAIAApACwAXABuACAAIAAgACAAIAAgACAAIABcAG4AIAAgACAAIAAgACAAIAAgAC8ALwAgAC0ALQAtACAARgBpAG4AYQBsACAAbwB1AHQAcAB1AHQAIABiAGEAcwBlAGQAIABvAG4AIABtAG8AZABlACAALQAtAC0AXABuACAAIAAgACAAIAAgACAAIABTAFcASQBUAEMASAAoAFwAbgAgACAAIAAgACAAIAAgACAAIAAgACAAIABVAFAAUABFAFIAKABtAG8AZABlACkALABcAG4AIAAgACAAIAAgACAAIAAgACAAIAAgACAAXAAiAFMAVABBAE4ARABBAFIARABcACIALAAgAEgAUwBUAEEAQwBLACgAcgBvAHcAXwAxACwAIAByAG8AdwBfADIALAAgAHIAbwB3AF8AMwAsACAAcgBvAHcAXwA0ACwAIAByAG8AdwBfADUAKQAsAFwAbgAgACAAIAAgACAAIAAgACAAIAAgACAAIABcACIAVABBAEIATABFAFwAIgAsACAASABTAFQAQQBDAEsAKAByAG8AdwBfADEALAAgAHIAbwB3AF8AMgAsACAAcgBvAHcAXwAzACwAIAByAG8AdwBfADQALAAgAHIAbwB3AF8ANQApACwAXABuACAAIAAgACAAIAAgACAAIAAgACAAIAAgAFwAIgBWAEUAUgBUAEkAQwBBAEwAXAAiACwAIABIAFMAVABBAEMASwAoAHYAZQByAHQAaQBjAGEAbABfAGwAYQBiAGUAbABzACwAIAB2AGUAcgB0AGkAYwBhAGwAXwB2AGEAbAB1AGUAcwApACwAXABuACAAIAAgACAAIAAgACAAIAAgACAAIAAgAFwAIgBIAE8AUgBJAFoATwBOAFQAQQBMAFwAIgAsACAAaABvAHIAaQB6AG8AbgB0AGEAbABfAHYAYQBsAHUAZQBzACwAXABuACAAIAAgACAAIAAgACAAIAAgACAAIAAgAFwAIgBJAG4AdgBhAGwAaQBkACAAbQBvAGQAZQBcACIAXABuACAAIAAgACAAIAAgACAAIAApAFwAbgAgACAAIAAgACkAXABuACkAOwBcAG4AXABuAC8AKgAgAEEAUwBUAFIATwBfAFMAVABBAFIAXwBEAEUATgBTAEkAVABZAF8AVgBPAEwAVQBNAEUAXABuACAAIAAgAFAAdQByAHAAbwBzAGUAOgAgAEcAaQB2AGUAbgAgAGEAIABzAHAAaABlAHIAaQBjAGEAbAAgAHYAbwBsAHUAbQBlACAAKABvAHIAIAByAGEAZABpAHUAcwApACwAIABjAGEAbABjAHUAbABhAHQAZQAgAGgAbwB3ACAAbQBhAG4AeQAgAHMAdABhAHIAcwAgAGYAaQB0ACAAYQB0ACAAMQAgAHMAdABhAHIAIABwAGUAcgAgADIANQAwACAAYwB1AGIAaQBjACAAbABpAGcAaAB0AC0AeQBlAGEAcgBzAC4AXABuAFwAbgAgACAAIABQAGEAcgBhAG0AZQB0AGUAcgBzADoAXABuACAAIAAgAC0AIABpAG4AcAB1AHQAIAAoAHIAZQBxAHUAaQByAGUAZAApADoAIABFAGkAdABoAGUAcgAgAGEAIABzAHAAaABlAHIAaQBjAGEAbAAgAHIAYQBkAGkAdQBzACAAbwByACAAYQAgAHYAbwBsAHUAbQBlACwAIABkAGUAcABlAG4AZABpAG4AZwAgAG8AbgAgAG0AbwBkAGUALgBcAG4AIAAgACAALQAgAHAAcgBlAGMAIAAoAG8AcAB0AGkAbwBuAGEAbAApADoAIABEAGUAYwBpAG0AYQBsACAAcABsAGEAYwBlAHMAIABmAG8AcgAgAG8AdQB0AHAAdQB0ACAAcAByAGUAYwBpAHMAaQBvAG4AIAAoAGQAZQBmAGEAdQBsAHQAIAA9ACAAMwApAC4AXABuACAAIAAgAC0AIABtAG8AZABlACAAKABvAHAAdABpAG8AbgBhAGwAKQA6ACAAXABuACAAIAAgACAAIAAgACAAMAAgAD0AIABpAG4AcAB1AHQAIABpAHMAIABhACAAdgBvAGwAdQBtAGUAIABpAG4AIABjAHUAYgBpAGMAIABsAGkAZwBoAHQALQB5AGUAYQByAHMAIAAoAGQAZQBmAGEAdQBsAHQAKQAsAFwAbgAgACAAIAAgACAAIAAgADEAIAA9ACAAaQBuAHAAdQB0ACAAaQBzACAAYQAgAHIAYQBkAGkAdQBzACAAaQBuACAAbABpAGcAaAB0AC0AeQBlAGEAcgBzAC4AXABuAFwAbgAgACAAIABSAGUAdAB1AHIAbgBzADoAXABuACAAIAAgAC0AIABBACAAdgBlAHIAdABpAGMAYQBsACAAYQByAHIAYQB5ACAAYwBvAG4AdABhAGkAbgBpAG4AZwAgAGUAaQB0AGgAZQByADoAXABuACAAIAAgACAAIAAgACAAIiAgAFsAbgB1AG0AYgBlAHIAIABvAGYAIABzAHQAYQByAHMAOwAgAHIAYQBkAGkAdQBzAF0AIABpAGYAIABtAG8AZABlACAAPQAgADAAXABuACAAIAAgACAAIAAgACAAIiAgAFsAbgB1AG0AYgBlAHIAIABvAGYAIABzAHQAYQByAHMAOwAgAHYAbwBsAHUAbQBlAF0AIABpAGYAIABtAG8AZABlACAAPQAgADEAXABuAFwAbgAgACAAIABFAHgAYQBtAHAAbABlADoAXABuACAAIAAgAEEAUwBUAFIATwBfAFMAVABBAFIAXwBEAEUATgBTAEkAVABZAF8AVgBPAEwAVQBNAEUAKAAxADAAMAAwACkAIAAgACAAIAAgACAAIAAgACAAIACSISAAewA0AC4AMAAwADAAOwAgADYALgAyADAAMwB9AFwAbgAgACAAIABBAFMAVABSAE8AXwBTAFQAQQBSAF8ARABFAE4AUwBJAFQAWQBfAFYATwBMAFUATQBFACgANQAsACAAMgAsACAAMQApACAAIAAgACAAIAAgACAAkiEgAHsAMgAuADYAMgA7ACAANQAyADMALgA2ADAAfQBcAG4AKgAvAFwAbgBBAFMAVABSAE8AXwBTAFQAQQBSAF8ARABFAE4AUwBJAFQAWQBfAFYATwBMAFUATQBFACAAPQAgAEwAQQBNAEIARABBACgAaQBuAHAAdQB0ACwAIABbAHAAcgBlAGMAXQAsACAAWwBtAG8AZABlAF0ALABcAG4AIAAgACAAIABMAEUAVAAoAFwAbgAgACAAIAAgACAAIAAgACAAbQBvAGQAZQAsACAASQBGACgASQBTAE8ATQBJAFQAVABFAEQAKABtAG8AZABlACkAIAArACAAKABtAG8AZABlACAAPAAgADAAKQAgACsAIAAoAG0AbwBkAGUAIAA+ACAAMQApACwAIAAwACwAIABtAG8AZABlACkALABcAG4AIAAgACAAIAAgACAAIAAgAHAAcgBlAGMALAAgAEkARgAoAEkAUwBPAE0ASQBUAFQARQBEACgAcAByAGUAYwApACAAKwAgACgAcAByAGUAYwAgADwAIAAwACkALAAgADMALAAgAHAAcgBlAGMAKQAsAFwAbgAgACAAIAAgACAAIAAgACAAdgBvAGwAdQBtAGUALAAgAEkARgAoAG0AbwBkAGUAIAA9ACAAMAAsACAAaQBuAHAAdQB0ACwAIAAoADQAIAAvACAAMwApACAAKgAgAFAASQAoACkAIAAqACAAaQBuAHAAdQB0ACAAXgAgADMAKQAsAFwAbgAgACAAIAAgACAAIAAgACAAcgBhAGQAaQB1AHMALAAgAEkARgAoAG0AbwBkAGUAIAA9ACAAMQAsACAAaQBuAHAAdQB0ACwAIABSAE8AVQBOAEQAKAAoACgAMwAgACoAIAB2AG8AbAB1AG0AZQApACAALwAgACgANAAgACoAIABQAEkAKAApACkAKQAgAF4AIAAoADEAIAAvACAAMwApACwAIABwAHIAZQBjACkAKQAsAFwAbgAgACAAIAAgACAAIAAgACAAcwB0AGEAcgBzACwAIABSAE8AVQBOAEQAKAB2AG8AbAB1AG0AZQAgAC8AIAAyADUAMAAsACAAcAByAGUAYwApACwAXABuACAAIAAgACAAIAAgACAAIABvAHUAdABwAHUAdAAsACAAUwBXAEkAVABDAEgAKABcAG4AIAAgACAAIAAgACAAIAAgACAAIAAgACAAbQBvAGQAZQAsAFwAbgAgACAAIAAgACAAIAAgACAAIAAgACAAIAAwACwAIABUAE8AQwBPAEwAKABUAEUAWABUAFMAUABMAEkAVAAoAFQARQBYAFQASgBPAEkATgAoAFwAIgA7ACAAXAAiACwAIAAsACAAXAAiAFMAdABhAHIAcwA6ACAAXAAiACAAJgAgAHMAdABhAHIAcwAsACAAXAAiAFIAYQBkAGkAdQBzADoAIABcACIAIAAmACAAcgBhAGQAaQB1AHMAKQAsACAAXAAiADsAIABcACIAKQApACwAXABuACAAIAAgACAAIAAgACAAIAAgACAAIAAgADEALAAgAFQATwBDAE8ATAAoAFQARQBYAFQAUwBQAEwASQBUACgAVABFAFgAVABKAE8ASQBOACgAXAAiADsAIABcACIALAAgACwAIABcACIAUwB0AGEAcgBzADoAIABcACIAIAAmACAAcwB0AGEAcgBzACwAIABcACIAVgBvAGwAdQBtAGUAOgAgAFwAIgAgACYAIAB2AG8AbAB1AG0AZQApACwAIABcACIAOwAgAFwAIgApACkAXABuACAAIAAgACAAIAAgACAAIAApACwAXABuACAAIAAgACAAIAAgACAAIABvAHUAdABwAHUAdABcAG4AIAAgACAAIAApAFwAbgApADsAXABuAFwAbgAvACoAIABBAFMAVABSAE8AXwBQAEwAQQBOAEUAVABfAE0ARQBUAFIASQBDAFMAXwBTAEEARgBFAFQAWQBcAG4AIAAgACAAUAB1AHIAcABvAHMAZQA6ACAAQwBhAGwAYwB1AGwAYQB0AGUAcwAgAHAAbABhAG4AZQB0AGEAcgB5ACAAbQBhAHMAcwAsACAAcgBhAGQAaQB1AHMALAAgAGQAZQBuAHMAaQB0AHkALAAgAHMAdQByAGYAYQBjAGUAIABnAHIAYQB2AGkAdAB5ACwAIABhAG4AZAAgAGUAcwBjAGEAcABlACAAdgBlAGwAbwBjAGkAdAB5AFwAbgAgACAAIAAgACAAIAAgACAAIAAgACAAIABmAHIAbwBtACAAYQBuAHkAIAB2AGEAbABpAGQAIABwAGEAaQByACAAbwBmACAAdAB3AG8AIABrAG4AbwB3AG4AIABwAGEAcgBhAG0AZQB0AGUAcgBzAC4AXABuAFwAbgAgACAAIABQAGEAcgBhAG0AZQB0AGUAcgBzADoAXABuACAAIAAgAC0AIABtAG8AZABlACAAKAByAGUAcQB1AGkAcgBlAGQAKQA6ACAAQQAgAHMAdAByAGkAbgBnACAAaQBuAGQAaQBjAGEAdABpAG4AZwAgAHQAaABlACAAawBuAG8AdwBuACAAaQBuAHAAdQB0ACAAcABhAGkAcgAuACAAQQBjAGMAZQBwAHQAYQBiAGwAZQAgAHYAYQBsAHUAZQBzADoAXABuACAAIAAgACAAIAAgACAAXAAiAG0AZABcACIAIAA9ACAATQBhAHMAcwAgACsAIABEAGUAbgBzAGkAdAB5AFwAbgAgACAAIAAgACAAIAAgAFwAIgBtAHIAXAAiACAAPQAgAE0AYQBzAHMAIAArACAAUgBhAGQAaQB1AHMAXABuACAAIAAgACAAIAAgACAAXAAiAG0AZwBcACIAIAA9ACAATQBhAHMAcwAgACsAIABHAHIAYQB2AGkAdAB5AFwAbgAgACAAIAAgACAAIAAgAFwAIgByAGQAXAAiACAAPQAgAFIAYQBkAGkAdQBzACAAKwAgAEQAZQBuAHMAaQB0AHkAXABuACAAIAAgACAAIAAgACAAXAAiAHIAZwBcACIAIAA9ACAAUgBhAGQAaQB1AHMAIAArACAARwByAGEAdgBpAHQAeQBcAG4AIAAgACAAIAAgACAAIABcACIAZABnAFwAIgAgAD0AIABEAGUAbgBzAGkAdAB5ACAAKwAgAEcAcgBhAHYAaQB0AHkAXABuACAAIAAgACAAIAAgACAAXAAiAGQAdgBcACIAIAA9ACAARABlAG4AcwBpAHQAeQAgACsAIABFAHMAYwBhAHAAZQAgAFYAZQBsAG8AYwBpAHQAeQBcAG4AIAAgACAAIAAgACAAIABcACIAZwB2AFwAIgAgAD0AIABHAHIAYQB2AGkAdAB5ACAAKwAgAEUAcwBjAGEAcABlACAAVgBlAGwAbwBjAGkAdAB5AFwAbgAgACAAIAAgACAAIAAgAFwAIgBtAHYAXAAiACAAPQAgAE0AYQBzAHMAIAArACAARQBzAGMAYQBwAGUAIABWAGUAbABvAGMAaQB0AHkAXABuACAAIAAgACAAIAAgACAAXAAiAHIAdgBcACIAIAA9ACAAUgBhAGQAaQB1AHMAIAArACAARQBzAGMAYQBwAGUAIABWAGUAbABvAGMAaQB0AHkAXABuACAAIAAgAC0AIABwAGEAcgBhAG0AXwAxACAAKAByAGUAcQB1AGkAcgBlAGQAKQA6ACAAVABoAGUAIABmAGkAcgBzAHQAIABuAHUAbQBlAHIAaQBjACAAaQBuAHAAdQB0ACwAIABtAGUAYQBuAGkAbgBnACAAZABlAHAAZQBuAGQAcwAgAG8AbgAgAG0AbwBkAGUAXABuACAAIAAgAC0AIABwAGEAcgBhAG0AXwAyACAAKAByAGUAcQB1AGkAcgBlAGQAKQA6ACAAVABoAGUAIABzAGUAYwBvAG4AZAAgAG4AdQBtAGUAcgBpAGMAIABpAG4AcAB1AHQALAAgAG0AZQBhAG4AaQBuAGcAIABkAGUAcABlAG4AZABzACAAbwBuACAAbQBvAGQAZQBcAG4AIAAgACAALQAgAHAAcgBlAGMAIAAoAG8AcAB0AGkAbwBuAGEAbAApADoAIABEAGUAYwBpAG0AYQBsACAAcAByAGUAYwBpAHMAaQBvAG4AIABmAG8AcgAgAG8AdQB0AHAAdQB0ACAAcgBvAHUAbgBkAGkAbgBnACAAKABkAGUAZgBhAHUAbAB0ACAAPQAgADUAKQBcAG4AXABuACAAIAAgAFIAZQB0AHUAcgBuAHMAOgBcAG4AIAAgACAALQAgAEEAIABsAGEAYgBlAGwAZQBkACAANQAtAHIAbwB3ACAAdABhAGIAbABlACAAdwBpAHQAaAAgAHYAYQBsAHUAZQBzACAAZgBvAHIAOgAgAE0AYQBzAHMAIAAoAE0AKQAsACAAUgBhAGQAaQB1AHMAIAAoAFIAKQAsACAARABlAG4AcwBpAHQAeQAgACgAZAApACwAXABuACAAIAAgACAAIABHAHIAYQB2AGkAdAB5ACAAKABnACkALAAgAEUAcwBjAGEAcABlACAAVgBlAGwAbwBjAGkAdAB5ACAAKAB2ACkAXABuACoALwBcAG4AQQBTAFQAUgBPAF8AUABMAEEATgBFAFQAXwBNAEUAVABSAEkAQwBTAF8AUwBBAEYARQBUAFkAIAA9ACAATABBAE0AQgBEAEEAKABtAG8AZABlACwAIABwAGEAcgBhAG0AXwAxACwAIABwAGEAcgBhAG0AXwAyACwAIABbAHAAcgBlAGMAXQAsAFwAbgAgACAAIAAgAEwARQBUACgAXABuACAAIAAgACAAIAAgACAAIAAvAC8AIABEAGUAZgBhAHUAbAB0ACAAcAByAGUAYwBpAHMAaQBvAG4AXABuACAAIAAgACAAIAAgACAAIABwAHIAZQBjACwAIABJAEYAKABJAFMATwBNAEkAVABUAEUARAAoAHAAcgBlAGMAKQAsACAANQAsACAAcAByAGUAYwApACwAXABuACAAIAAgACAAIAAgACAAIABcAG4AIAAgACAAIAAgACAAIAAgAC8ALwAgAE4AbwByAG0AYQBsAGkAegBlACAAaQBuAHAAdQB0ACAAbQBvAGQAZQAgAHQAbwAgAGwAbwB3AGUAcgBjAGEAcwBlAFwAbgAgACAAIAAgACAAIAAgACAAbQBvAGQAZQAsACAATABPAFcARQBSACgAbQBvAGQAZQApACwAXABuACAAIAAgACAAIAAgACAAIABcAG4AIAAgACAAIAAgACAAIAAgAC8ALwAgAEMAbwBtAHAAdQB0AGUAIABiAGEAcwBlAGQAIABvAG4AIABzAGUAbABlAGMAdABlAGQAIABtAG8AZABlAFwAbgAgACAAIAAgACAAIAAgACAAbwB1AHQAcAB1AHQALAAgAFMAVwBJAFQAQwBIACgAXABuACAAIAAgACAAIAAgACAAIAAgACAAIAAgAG0AbwBkAGUALABcAG4AIAAgACAAIAAgACAAIAAgACAAIAAgACAAXABuACAAIAAgACAAIAAgACAAIAAgACAAIAAgAC8ALwAgAE0AYQBzAHMAIAArACAARABlAG4AcwBpAHQAeQBcAG4AIAAgACAAIAAgACAAIAAgACAAIAAgACAAXAAiAG0AZABcACIALAAgAEwARQBUACgAXABuACAAIAAgACAAIAAgACAAIAAgACAAIAAgACAAIAAgACAATQAsACAAcABhAHIAYQBtAF8AMQAsAFwAbgAgACAAIAAgACAAIAAgACAAIAAgACAAIAAgACAAIAAgAGQALAAgAHAAYQByAGEAbQBfADIALABcAG4AIAAgACAAIAAgACAAIAAgACAAIAAgACAAIAAgACAAIABSACwAIAAoAE0AIAAvACAAZAApACAAXgAgACgAMQAgAC8AIAAzACkALABcAG4AIAAgACAAIAAgACAAIAAgACAAIAAgACAAIAAgACAAIABnACwAIAAoAE0AIAAqACAAZAAgAF4AIAAyACkAIABeACAAKAAxACAALwAgADMAKQAsAFwAbgAgACAAIAAgACAAIAAgACAAIAAgACAAIAAgACAAIAAgAHYALAAgACgATQAgACoAIABTAFEAUgBUACgAZAApACkAIABeACAAKAAxACAALwAgADMAKQAsAFwAbgAgACAAIAAgACAAIAAgACAAIAAgACAAIAAgACAAIAAgAEgAUwBUAEEAQwBLACgATQAsACAAUgAsACAAZAAsACAAZwAsACAAdgApAFwAbgAgACAAIAAgACAAIAAgACAAIAAgACAAIAApACwAXABuACAAIAAgACAAIAAgACAAIAAgACAAIAAgAFwAbgAgACAAIAAgACAAIAAgACAAIAAgACAAIAAvAC8AIABNAGEAcwBzACAAKwAgAFIAYQBkAGkAdQBzAFwAbgAgACAAIAAgACAAIAAgACAAIAAgACAAIABcACIAbQByAFwAIgAsACAATABFAFQAKABcAG4AIAAgACAAIAAgACAAIAAgACAAIAAgACAAIAAgACAAIABNACwAIABwAGEAcgBhAG0AXwAxACwAXABuACAAIAAgACAAIAAgACAAIAAgACAAIAAgACAAIAAgACAAUgAsACAAcABhAHIAYQBtAF8AMgAsAFwAbgAgACAAIAAgACAAIAAgACAAIAAgACAAIAAgACAAIAAgAGQALAAgAE0AIAAvACAAUgAgAF4AIAAzACwAXABuACAAIAAgACAAIAAgACAAIAAgACAAIAAgACAAIAAgACAAZwAsACAATQAgAC8AIABSACAAXgAgADIALABcAG4AIAAgACAAIAAgACAAIAAgACAAIAAgACAAIAAgACAAIAB2ACwAIABTAFEAUgBUACgATQAgAC8AIABSACkALABcAG4AIAAgACAAIAAgACAAIAAgACAAIAAgACAAIAAgACAAIABIAFMAVABBAEMASwAoAE0ALAAgAFIALAAgAGQALAAgAGcALAAgAHYAKQBcAG4AIAAgACAAIAAgACAAIAAgACAAIAAgACAAKQAsAFwAbgAgACAAIAAgACAAIAAgACAAIAAgACAAIABcAG4AIAAgACAAIAAgACAAIAAgACAAIAAgACAALwAvACAATQBhAHMAcwAgACsAIABHAHIAYQB2AGkAdAB5AFwAbgAgACAAIAAgACAAIAAgACAAIAAgACAAIABcACIAbQBnAFwAIgAsACAATABFAFQAKABcAG4AIAAgACAAIAAgACAAIAAgACAAIAAgACAAIAAgACAAIABNACwAIABwAGEAcgBhAG0AXwAxACwAXABuACAAIAAgACAAIAAgACAAIAAgACAAIAAgACAAIAAgACAAZwAsACAAcABhAHIAYQBtAF8AMgAsAFwAbgAgACAAIAAgACAAIAAgACAAIAAgACAAIAAgACAAIAAgAFIALAAgAFMAUQBSAFQAKABNACAALwAgAGcAKQAsAFwAbgAgACAAIAAgACAAIAAgACAAIAAgACAAIAAgACAAIAAgAGQALAAgAFMAUQBSAFQAKABnACAAXgAgADMAIAAvACAATQApACwAXABuACAAIAAgACAAIAAgACAAIAAgACAAIAAgACAAIAAgACAAdgAsACAAKABNACAAKgAgAGcAKQAgAF4AIAAwAC4AMgA1ACwAXABuACAAIAAgACAAIAAgACAAIAAgACAAIAAgACAAIAAgACAASABTAFQAQQBDAEsAKABNACwAIABSACwAIABkACwAIABnACwAIAB2ACkAXABuACAAIAAgACAAIAAgACAAIAAgACAAIAAgACkALABcAG4AIAAgACAAIAAgACAAIAAgACAAIAAgACAAXABuACAAIAAgACAAIAAgACAAIAAgACAAIAAgAC8ALwAgAFIAYQBkAGkAdQBzACAAKwAgAEQAZQBuAHMAaQB0AHkAXABuACAAIAAgACAAIAAgACAAIAAgACAAIAAgAFwAIgByAGQAXAAiACwAIABMAEUAVAAoAFwAbgAgACAAIAAgACAAIAAgACAAIAAgACAAIAAgACAAIAAgAFIALAAgAHAAYQByAGEAbQBfADEALABcAG4AIAAgACAAIAAgACAAIAAgACAAIAAgACAAIAAgACAAIABkACwAIABwAGEAcgBhAG0AXwAyACwAXABuACAAIAAgACAAIAAgACAAIAAgACAAIAAgACAAIAAgACAATQAsACAAZAAgACoAIABSACAAXgAgADMALABcAG4AIAAgACAAIAAgACAAIAAgACAAIAAgACAAIAAgACAAIABnACwAIABkACAAKgAgAFIALABcAG4AIAAgACAAIAAgACAAIAAgACAAIAAgACAAIAAgACAAIAB2ACwAIABSACAAKgAgAFMAUQBSAFQAKABkACkALABcAG4AIAAgACAAIAAgACAAIAAgACAAIAAgACAAIAAgACAAIABIAFMAVABBAEMASwAoAE0ALAAgAFIALAAgAGQALAAgAGcALAAgAHYAKQBcAG4AIAAgACAAIAAgACAAIAAgACAAIAAgACAAKQAsAFwAbgAgACAAIAAgACAAIAAgACAAIAAgACAAIABcAG4AIAAgACAAIAAgACAAIAAgACAAIAAgACAALwAvACAAUgBhAGQAaQB1AHMAIAArACAARwByAGEAdgBpAHQAeQBcAG4AIAAgACAAIAAgACAAIAAgACAAIAAgACAAXAAiAHIAZwBcACIALAAgAEwARQBUACgAXABuACAAIAAgACAAIAAgACAAIAAgACAAIAAgACAAIAAgACAAUgAsACAAcABhAHIAYQBtAF8AMQAsAFwAbgAgACAAIAAgACAAIAAgACAAIAAgACAAIAAgACAAIAAgAGcALAAgAHAAYQByAGEAbQBfADIALABcAG4AIAAgACAAIAAgACAAIAAgACAAIAAgACAAIAAgACAAIABNACwAIABnACAAKgAgAFIAIABeACAAMgAsAFwAbgAgACAAIAAgACAAIAAgACAAIAAgACAAIAAgACAAIAAgAGQALAAgAGcAIAAvACAAUgAsAFwAbgAgACAAIAAgACAAIAAgACAAIAAgACAAIAAgACAAIAAgAHYALAAgAFMAUQBSAFQAKABnACAAKgAgAFIAKQAsAFwAbgAgACAAIAAgACAAIAAgACAAIAAgACAAIAAgACAAIAAgAEgAUwBUAEEAQwBLACgATQAsACAAUgAsACAAZAAsACAAZwAsACAAdgApAFwAbgAgACAAIAAgACAAIAAgACAAIAAgACAAIAApACwAXABuACAAIAAgACAAIAAgACAAIAAgACAAIAAgAFwAbgAgACAAIAAgACAAIAAgACAAIAAgACAAIAAvAC8AIABEAGUAbgBzAGkAdAB5ACAAKwAgAEcAcgBhAHYAaQB0AHkAXABuACAAIAAgACAAIAAgACAAIAAgACAAIAAgAFwAIgBkAGcAXAAiACwAIABMAEUAVAAoAFwAbgAgACAAIAAgACAAIAAgACAAIAAgACAAIAAgACAAIAAgAGQALAAgAHAAYQByAGEAbQBfADEALABcAG4AIAAgACAAIAAgACAAIAAgACAAIAAgACAAIAAgACAAIABnACwAIABwAGEAcgBhAG0AXwAyACwAXABuACAAIAAgACAAIAAgACAAIAAgACAAIAAgACAAIAAgACAAUgAsACAAZwAgAC8AIABkACwAXABuACAAIAAgACAAIAAgACAAIAAgACAAIAAgACAAIAAgACAATQAsACAAZwAgAF4AIAAzACAALwAgAGQAIABeACAAMgAsAFwAbgAgACAAIAAgACAAIAAgACAAIAAgACAAIAAgACAAIAAgAHYALAAgAGcAIAAvACAAUwBRAFIAVAAoAGQAKQAsAFwAbgAgACAAIAAgACAAIAAgACAAIAAgACAAIAAgACAAIAAgAEgAUwBUAEEAQwBLACgATQAsACAAUgAsACAAZAAsACAAZwAsACAAdgApAFwAbgAgACAAIAAgACAAIAAgACAAIAAgACAAIAApACwAXABuACAAIAAgACAAIAAgACAAIAAgACAAIAAgAFwAbgAgACAAIAAgACAAIAAgACAAIAAgACAAIAAvAC8AIABEAGUAbgBzAGkAdAB5ACAAKwAgAEUAcwBjAGEAcABlACAAVgBlAGwAbwBjAGkAdAB5AFwAbgAgACAAIAAgACAAIAAgACAAIAAgACAAIABcACIAZAB2AFwAIgAsACAATABFAFQAKABcAG4AIAAgACAAIAAgACAAIAAgACAAIAAgACAAIAAgACAAIABkACwAIABwAGEAcgBhAG0AXwAxACwAXABuACAAIAAgACAAIAAgACAAIAAgACAAIAAgACAAIAAgACAAdgAsACAAcABhAHIAYQBtAF8AMgAsAFwAbgAgACAAIAAgACAAIAAgACAAIAAgACAAIAAgACAAIAAgAFIALAAgAHYAIAAvACAAUwBRAFIAVAAoAGQAKQAsAFwAbgAgACAAIAAgACAAIAAgACAAIAAgACAAIAAgACAAIAAgAE0ALAAgAHYAIABeACAAMwAgAC8AIABTAFEAUgBUACgAZAApACwAXABuACAAIAAgACAAIAAgACAAIAAgACAAIAAgACAAIAAgACAAZwAsACAAdgAgACoAIABTAFEAUgBUACgAZAApACwAXABuACAAIAAgACAAIAAgACAAIAAgACAAIAAgACAAIAAgACAASABTAFQAQQBDAEsAKABNACwAIABSACwAIABkACwAIABnACwAIAB2ACkAXABuACAAIAAgACAAIAAgACAAIAAgACAAIAAgACkALABcAG4AIAAgACAAIAAgACAAIAAgACAAIAAgACAAXABuACAAIAAgACAAIAAgACAAIAAgACAAIAAgAC8ALwAgAEcAcgBhAHYAaQB0AHkAIAArACAARQBzAGMAYQBwAGUAIABWAGUAbABvAGMAaQB0AHkAXABuACAAIAAgACAAIAAgACAAIAAgACAAIAAgAFwAIgBnAHYAXAAiACwAIABMAEUAVAAoAFwAbgAgACAAIAAgACAAIAAgACAAIAAgACAAIAAgACAAIAAgAGcALAAgAHAAYQByAGEAbQBfADEALABcAG4AIAAgACAAIAAgACAAIAAgACAAIAAgACAAIAAgACAAIAB2ACwAIABwAGEAcgBhAG0AXwAyACwAXABuACAAIAAgACAAIAAgACAAIAAgACAAIAAgACAAIAAgACAAUgAsACAAdgAgAF4AIAAyACAALwAgAGcALABcAG4AIAAgACAAIAAgACAAIAAgACAAIAAgACAAIAAgACAAIABNACwAIAB2ACAAXgAgADQAIAAvACAAZwAsAFwAbgAgACAAIAAgACAAIAAgACAAIAAgACAAIAAgACAAIAAgAGQALAAgACgAZwAgAC8AIAB2ACkAIABeACAAMgAsAFwAbgAgACAAIAAgACAAIAAgACAAIAAgACAAIAAgACAAIAAgAEgAUwBUAEEAQwBLACgATQAsACAAUgAsACAAZAAsACAAZwAsACAAdgApAFwAbgAgACAAIAAgACAAIAAgACAAIAAgACAAIAApACwAXABuACAAIAAgACAAIAAgACAAIAAgACAAIAAgAFwAbgAgACAAIAAgACAAIAAgACAAIAAgACAAIAAvAC8AIABNAGEAcwBzACAAKwAgAEUAcwBjAGEAcABlACAAVgBlAGwAbwBjAGkAdAB5AFwAbgAgACAAIAAgACAAIAAgACAAIAAgACAAIABcACIAbQB2AFwAIgAsACAATABFAFQAKABcAG4AIAAgACAAIAAgACAAIAAgACAAIAAgACAAIAAgACAAIABNACwAIABwAGEAcgBhAG0AXwAxACwAXABuACAAIAAgACAAIAAgACAAIAAgACAAIAAgACAAIAAgACAAdgAsACAAcABhAHIAYQBtAF8AMgAsAFwAbgAgACAAIAAgACAAIAAgACAAIAAgACAAIAAgACAAIAAgAFIALAAgAE0AIAAvACAAdgAgAF4AIAAyACwAXABuACAAIAAgACAAIAAgACAAIAAgACAAIAAgACAAIAAgACAAZwAsACAAdgAgAF4AIAA0ACAALwAgAE0ALABcAG4AIAAgACAAIAAgACAAIAAgACAAIAAgACAAIAAgACAAIABkACwAIAB2ACAAXgAgADYAIAAvACAATQAgAF4AIAAyACwAXABuACAAIAAgACAAIAAgACAAIAAgACAAIAAgACAAIAAgACAASABTAFQAQQBDAEsAKABNACwAIABSACwAIABkACwAIABnACwAIAB2ACkAXABuACAAIAAgACAAIAAgACAAIAAgACAAIAAgACkALABcAG4AIAAgACAAIAAgACAAIAAgACAAIAAgACAAXABuACAAIAAgACAAIAAgACAAIAAgACAAIAAgAC8ALwAgAFIAYQBkAGkAdQBzACAAKwAgAEUAcwBjAGEAcABlACAAVgBlAGwAbwBjAGkAdAB5AFwAbgAgACAAIAAgACAAIAAgACAAIAAgACAAIABcACIAcgB2AFwAIgAsACAATABFAFQAKABcAG4AIAAgACAAIAAgACAAIAAgACAAIAAgACAAIAAgACAAIABSACwAIABwAGEAcgBhAG0AXwAxACwAXABuACAAIAAgACAAIAAgACAAIAAgACAAIAAgACAAIAAgACAAdgAsACAAcABhAHIAYQBtAF8AMgAsAFwAbgAgACAAIAAgACAAIAAgACAAIAAgACAAIAAgACAAIAAgAGcALAAgAHYAIABeACAAMgAgAC8AIABSACwAXABuACAAIAAgACAAIAAgACAAIAAgACAAIAAgACAAIAAgACAATQAsACAAUgAgACoAIAB2ACAAXgAgADIALABcAG4AIAAgACAAIAAgACAAIAAgACAAIAAgACAAIAAgACAAIABkACwAIAAoAHYAIAAvACAAUgApACAAXgAgADIALABcAG4AIAAgACAAIAAgACAAIAAgACAAIAAgACAAIAAgACAAIABIAFMAVABBAEMASwAoAE0ALAAgAFIALAAgAGQALAAgAGcALAAgAHYAKQBcAG4AIAAgACAAIAAgACAAIAAgACAAIAAgACAAKQAsAFwAbgAgACAAIAAgACAAIAAgACAAIAAgACAAIABcAG4AIAAgACAAIAAgACAAIAAgACAAIAAgACAALwAvACAARABlAGYAYQB1AGwAdAAgAGYAYQBsAGwAYgBhAGMAawBcAG4AIAAgACAAIAAgACAAIAAgACAAIAAgACAATgBBACgAKQBcAG4AIAAgACAAIAAgACAAIAAgACkALABcAG4AIAAgACAAIAAgACAAIAAgAFwAbgAgACAAIAAgACAAIAAgACAALwAvACAARgBvAHIAbQBhAHQAIAB3AGkAdABoACAAaABlAGEAZABlAHIAcwAgAGEAbgBkACAAcgBvAHUAbgBkAGkAbgBnAFwAbgAgACAAIAAgACAAIAAgACAAaABlAGEAZABlAHIAcwAsACAAewBcACIATQBcACIALAAgAFwAIgBSAFwAIgAsACAAXAAiAGQAXAAiACwAIABcACIAZwBcACIALAAgAFwAIgB2AFwAIgB9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AATABBAE4ARQBUAF8ATQBFAFQAUgBJAEMAUwBcAG4AIAAgACAAUAB1AHIAcABvAHMAZQA6AFwAbgAgACAAIABDAGEAbABjAHUAbABhAHQAZQBzACAAcABsAGEAbgBlAHQAYQByAHkAIABtAGEAcwBzACwAIAByAGEAZABpAHUAcwAsACAAZABlAG4AcwBpAHQAeQAsACAAcwB1AHIAZgBhAGMAZQAgAGcAcgBhAHYAaQB0AHkALAAgAGEAbgBkACAAZQBzAGMAYQBwAGUAIAB2AGUAbABvAGMAaQB0AHkAXABuACAAIAAgAGIAYQBzAGUAZAAgAG8AbgAgAGEAbgB5ACAAdAB3AG8AIABrAG4AbwB3AG4AIAB2AGEAbAB1AGUAcwAsACAAYQBuAGQAIABmAGwAYQBnAHMAIAB0AGgAZQAgAHAAcgBvAHYAaQBkAGUAZAAgAGkAbgBwAHUAdABzACAAdwBpAHQAaAAgAGEAbgAgAGEAcgByAG8AdwAgACgAlCcpAC4AXABuAFwAbgAgACAAIABQAGEAcgBhAG0AZQB0AGUAcgBzADoAXABuACAAIAAgAC0AIABtAG8AZABlACAAKAByAGUAcQB1AGkAcgBlAGQAKQA6ACAAQQAgAHMAdAByAGkAbgBnACAAaQBuAGQAaQBjAGEAdABpAG4AZwAgAHQAaABlACAAdAB3AG8AIABrAG4AbwB3AG4AIAB2AGEAbAB1AGUAcwAuACAAQQBjAGMAZQBwAHQAZQBkACAAdgBhAGwAdQBlAHMAOgBcAG4AIAAgACAAIAAgACAAIABcACIAbQBkAFwAIgAgAD0AIABNAGEAcwBzACAAKwAgAEQAZQBuAHMAaQB0AHkAXABuACAAIAAgACAAIAAgACAAXAAiAG0AcgBcACIAIAA9ACAATQBhAHMAcwAgACsAIABSAGEAZABpAHUAcwBcAG4AIAAgACAAIAAgACAAIABcACIAbQBnAFwAIgAgAD0AIABNAGEAcwBzACAAKwAgAEcAcgBhAHYAaQB0AHkAXABuACAAIAAgACAAIAAgACAAXAAiAHIAZABcACIAIAA9ACAAUgBhAGQAaQB1AHMAIAArACAARABlAG4AcwBpAHQAeQBcAG4AIAAgACAAIAAgACAAIABcACIAcgBnAFwAIgAgAD0AIABSAGEAZABpAHUAcwAgACsAIABHAHIAYQB2AGkAdAB5AFwAbgAgACAAIAAgACAAIAAgAFwAIgBkAGcAXAAiACAAPQAgAEQAZQBuAHMAaQB0AHkAIAArACAARwByAGEAdgBpAHQAeQBcAG4AIAAgACAAIAAgACAAIABcACIAZAB2AFwAIgAgAD0AIABEAGUAbgBzAGkAdAB5ACAAKwAgAEUAcwBjAGEAcABlACAAVgBlAGwAbwBjAGkAdAB5AFwAbgAgACAAIAAgACAAIAAgAFwAIgBnAHYAXAAiACAAPQAgAEcAcgBhAHYAaQB0AHkAIAArACAARQBzAGMAYQBwAGUAIABWAGUAbABvAGMAaQB0AHkAXABuACAAIAAgACAAIAAgACAAXAAiAG0AdgBcACIAIAA9ACAATQBhAHMAcwAgACsAIABFAHMAYwBhAHAAZQAgAFYAZQBsAG8AYwBpAHQAeQBcAG4AIAAgACAAIAAgACAAIABcACIAcgB2AFwAIgAgAD0AIABSAGEAZABpAHUAcwAgACsAIABFAHMAYwBhAHAAZQAgAFYAZQBsAG8AYwBpAHQAeQBcAG4AIAAgACAALQAgAHAAYQByAGEAbQBfADEAIAAoAHIAZQBxAHUAaQByAGUAZAApADoAIABGAGkAcgBzAHQAIABrAG4AbwB3AG4AIABwAGEAcgBhAG0AZQB0AGUAcgAgACgAbQBlAGEAbgBpAG4AZwAgAGQAZQBwAGUAbgBkAHMAIABvAG4AIABtAG8AZABlACkAXABuACAAIAAgAC0AIABwAGEAcgBhAG0AXwAyACAAKAByAGUAcQB1AGkAcgBlAGQAKQA6ACAAUwBlAGMAbwBuAGQAIABrAG4AbwB3AG4AIABwAGEAcgBhAG0AZQB0AGUAcgAgACgAbQBlAGEAbgBpAG4AZwAgAGQAZQBwAGUAbgBkAHMAIABvAG4AIABtAG8AZABlACkAXABuACAAIAAgAC0AIABwAHIAZQBjACAAKABvAHAAdABpAG8AbgBhAGwAKQA6ACAARABlAGMAaQBtAGEAbAAgAHAAcgBlAGMAaQBzAGkAbwBuACAAZgBvAHIAIABvAHUAdABwAHUAdAAgACgAZABlAGYAYQB1AGwAdAAgAD0AIAA1ACkAXABuAFwAbgAgACAAIABSAGUAdAB1AHIAbgBzADoAXABuACAAIAAgAC0AIABBACAAMgAtAGMAbwBsAHUAbQBuACAAdgBlAHIAdABpAGMAYQBsACAAdABhAGIAbABlACAAdwBpAHQAaAAgAGgAZQBhAGQAZQByAHMAIAB7AFwAIgBNAFwAIgAsACAAXAAiAFIAXAAiACwAIABcACIAZABcACIALAAgAFwAIgBnAFwAIgAsACAAXAAiAHYAXAAiAH0AIABhAG4AZAAgAGMAYQBsAGMAdQBsAGEAdABlAGQAIAB2AGEAbAB1AGUAcwAuAFwAbgAgACAAIAAgACAASQBuAHAAdQB0ACAAdgBhAGwAdQBlAHMAIABhAHIAZQAgAGYAbABhAGcAZwBlAGQAIAB3AGkAdABoACAAYQAgAJQnIAB0AG8AIABpAG4AZABpAGMAYQB0AGUAIAB0AGgAZQBpAHIAIABvAHIAaQBnAGkAbgAuAFwAbgAgACAAIAAgACAAVQBuAGkAdABzACAAYQByAGUAIABhAHMAcwB1AG0AZQBkACAAdABvACAAYgBlACAAYwBvAG4AcwBpAHMAdABlAG4AdAAgAGEAbgBkACAAcgBlAGwAYQB0AGkAdgBlACAAKABlAC4AZwAuACwAIABFAGEAcgB0AGgAIAA9ACAAMQAuADAAKQAuAFwAbgBcAG4AIAAgACAATgBvAHQAZQBzADoAXABuACAAIAAgAC0AIABEAGUAcwBpAGcAbgBlAGQAIABmAG8AcgAgAHUAcwBlACAAaQBuACAAbQBvAGQAZQBsAGkAbgBnACwAIABwAGwAYQBuAGUAdABhAHIAeQAgAHAAaAB5AHMAaQBjAHMAIABzAGkAbQB1AGwAYQB0AGkAbwBuAHMALAAgAGEAbgBkACAAZQBkAHUAYwBhAHQAaQBvAG4AYQBsACAAYQBwAHAAbABpAGMAYQB0AGkAbwBuAHMALgBcAG4AIAAgACAALQAgAE8AdQB0AHAAdQB0AHMAIABhAHIAZQAgAGkAbgB0AGUAcgBuAGEAbABsAHkAIABjAGEAbABjAHUAbABhAHQAZQBkACAAYgBhAHMAZQBkACAAbwBuACAAYgBhAHMAaQBjACAAcABoAHkAcwBpAGMAYQBsACAAcgBlAGwAYQB0AGkAbwBuAHMAaABpAHAAcwA6AFwAbgAgACAAIAAgACAAIAAgAC0AIABtACAAPQAgAG0AYQBzAHMAXABuACAAIAAgACAAIAAgACAALQAgAHIAIAA9ACAAcgBhAGQAaQB1AHMAXABuACAAIAAgACAAIAAgACAALQAgAGQAIAA9ACAAZABlAG4AcwBpAHQAeQBcAG4AIAAgACAAIAAgACAAIAAtACAAZwAgAD0AIABzAHUAcgBmAGEAYwBlACAAZwByAGEAdgBpAHQAeQBcAG4AIAAgACAAIAAgACAAIAAtACAAdgAgAD0AIABlAHMAYwBhAHAAZQAgAHYAZQBsAG8AYwBpAHQAeQBcAG4AIAAgACAALQAgAEgAYQBuAGQAbABlAHMAIABpAG4AcAB1AHQAIABwAGUAcgBtAHUAdABhAHQAaQBvAG4AcwAgAGYAbABlAHgAaQBiAGwAeQAgAHYAaQBhACAAbQBvAGQAZQAgAHMAdAByAGkAbgBnACAAcABhAHIAcwBpAG4AZwAuAFwAbgBcAG4AIAAgACAARQB4AGEAbQBwAGwAZQA6AFwAbgAgACAAIABBAFMAVABSAE8AXwBQAEwAQQBOAEUAVABfAE0ARQBUAFIASQBDAFMAXwBGAEwAQQBHAEcARQBEACgAXAAiAHIAZABcACIALAAgADEALgAyACwAIAAwAC4ANwA1ACkAXABuACAAIAAgACAAIACSIVwAbgAgACAAIAAgACAAIAAgAG0AIAAgACAAIAAgACAAMAAuADYANwA1AFwAbgAgACAAIAAgACAAIAAgAHIAIACUJyAAIAAgACAAMQAuADIAXABuACAAIAAgACAAIAAgACAAZAAgAJQnIAAgACAAIAAwAC4ANwA1AFwAbgAgACAAIAAgACAAIAAgAGcAIAAgACAAIAAgACAAMAAuADkAXABuACAAIAAgACAAIAAgACAAdgAgACAAIAAgACAAIAAxAC4AMAAzADkAXABuAFwAbgAqAC8AXABuAEEAUwBUAFIATwBfAFAATABBAE4ARQBUAF8ATQBFAFQAUgBJAEMAUwAgAD0AIABMAEEATQBCAEQAQQAoAG0AbwBkAGUALAAgAHAAYQByAGEAbQBfADEALAAgAHAAYQByAGEAbQBfADIALAAgAFsAcAByAGUAYwBdACwAXABuACAAIAAgACAATABFAFQAKABcAG4AIAAgACAAIAAgACAAIAAgAC8ALwAgAEQAZQBmAGEAdQBsAHQAIABwAHIAZQBjAGkAcwBpAG8AbgBcAG4AIAAgACAAIAAgACAAIAAgAHAAcgBlAGMALAAgAEkARgAoAEkAUwBPAE0ASQBUAFQARQBEACgAcAByAGUAYwApACwAIAA1ACwAIABwAHIAZQBjACkALABcAG4AIAAgACAAIAAgACAAIAAgAFwAbgAgACAAIAAgACAAIAAgACAALwAvACAATgBvAHIAbQBhAGwAaQB6AGUAIABpAG4AcAB1AHQAIABtAG8AZABlACAAdABvACAAbABvAHcAZQByAGMAYQBzAGUAXABuACAAIAAgACAAIAAgACAAIABtAG8AZABlACwAIABMAE8AVwBFAFIAKABtAG8AZABlACkALABcAG4AIAAgACAAIAAgACAAIAAgAFwAbgAgACAAIAAgACAAIAAgACAALwAvACAAQwBvAG0AcAB1AHQAZQAgAGIAYQBzAGUAZAAgAG8AbgAgAHMAZQBsAGUAYwB0AGUAZAAgAG0AbwBkAGUAXABuACAAIAAgACAAIAAgACAAIABvAHUAdABwAHUAdAAsACAAUwBXAEkAVABDAEgAKABcAG4AIAAgACAAIAAgACAAIAAgACAAIAAgACAAbQBvAGQAZQAsAFwAbgAgACAAIAAgACAAIAAgACAAIAAgACAAIABcAG4AIAAgACAAIAAgACAAIAAgACAAIAAgACAALwAvACAATQBhAHMAcwAgACsAIABEAGUAbgBzAGkAdAB5AFwAbgAgACAAIAAgACAAIAAgACAAIAAgACAAIABcACIAbQBkAFwAIgAsACAATABFAFQAKABcAG4AIAAgACAAIAAgACAAIAAgACAAIAAgACAAIAAgACAAIABtACwAIABwAGEAcgBhAG0AXwAxACwAXABuACAAIAAgACAAIAAgACAAIAAgACAAIAAgACAAIAAgACAAZAAsACAAcABhAHIAYQBtAF8AMgAsAFwAbgAgACAAIAAgACAAIAAgACAAIAAgACAAIAAgACAAIAAgAHIALAAgACgATQAgAC8AIABkACkAIABeACAAKAAxACAALwAgADMAKQAsAFwAbgAgACAAIAAgACAAIAAgACAAIAAgACAAIAAgACAAIAAgAGcALAAgACgATQAgACoAIABkACAAXgAgADIAKQAgAF4AIAAoADEAIAAvACAAMwApACwAXABuACAAIAAgACAAIAAgACAAIAAgACAAIAAgACAAIAAgACAAdgAsACAAKABNACAAKgAgAFMAUQBSAFQAKABkACkAKQAgAF4AIAAoADEAIAAvACAAMwApACwAXABuACAAIAAgACAAIAAgACAAIAAgACAAIAAgACAAIAAgACAASABTAFQAQQBDAEsAKABNACwAIABSACwAIABkACwAIABnACwAIAB2ACkAXABuACAAIAAgACAAIAAgACAAIAAgACAAIAAgACkALABcAG4AIAAgACAAIAAgACAAIAAgACAAIAAgACAAXABuACAAIAAgACAAIAAgACAAIAAgACAAIAAgAC8ALwAgAE0AYQBzAHMAIAArACAAUgBhAGQAaQB1AHMAXABuACAAIAAgACAAIAAgACAAIAAgACAAIAAgAFwAIgBtAHIAXAAiACwAIABMAEUAVAAoAFwAbgAgACAAIAAgACAAIAAgACAAIAAgACAAIAAgACAAIAAgAG0ALAAgAHAAYQByAGEAbQBfADEALABcAG4AIAAgACAAIAAgACAAIAAgACAAIAAgACAAIAAgACAAIAByACwAIABwAGEAcgBhAG0AXwAyACwAXABuACAAIAAgACAAIAAgACAAIAAgACAAIAAgACAAIAAgACAAZAAsACAATQAgAC8AIABSACAAXgAgADMALABcAG4AIAAgACAAIAAgACAAIAAgACAAIAAgACAAIAAgACAAIABnACwAIABNACAALwAgAFIAIABeACAAMgAsAFwAbgAgACAAIAAgACAAIAAgACAAIAAgACAAIAAgACAAIAAgAHYALAAgAFMAUQBSAFQAKABNACAALwAgAFIAKQAsAFwAbgAgACAAIAAgACAAIAAgACAAIAAgACAAIAAgACAAIAAgAEgAUwBUAEEAQwBLACgATQAsACAAUgAsACAAZAAsACAAZwAsACAAdgApAFwAbgAgACAAIAAgACAAIAAgACAAIAAgACAAIAApACwAXABuACAAIAAgACAAIAAgACAAIAAgACAAIAAgAFwAbgAgACAAIAAgACAAIAAgACAAIAAgACAAIAAvAC8AIABNAGEAcwBzACAAKwAgAEcAcgBhAHYAaQB0AHkAXABuACAAIAAgACAAIAAgACAAIAAgACAAIAAgAFwAIgBtAGcAXAAiACwAIABMAEUAVAAoAFwAbgAgACAAIAAgACAAIAAgACAAIAAgACAAIAAgACAAIAAgAG0ALAAgAHAAYQByAGEAbQBfADEALABcAG4AIAAgACAAIAAgACAAIAAgACAAIAAgACAAIAAgACAAIABnACwAIABwAGEAcgBhAG0AXwAyACwAXABuACAAIAAgACAAIAAgACAAIAAgACAAIAAgACAAIAAgACAAcgAsACAAUwBRAFIAVAAoAE0AIAAvACAAZwApACwAXABuACAAIAAgACAAIAAgACAAIAAgACAAIAAgACAAIAAgACAAZAAsACAAUwBRAFIAVAAoAGcAIABeACAAMwAgAC8AIABNACkALABcAG4AIAAgACAAIAAgACAAIAAgACAAIAAgACAAIAAgACAAIAB2ACwAIAAoAE0AIAAqACAAZwApACAAXgAgADAALgAyADUALABcAG4AIAAgACAAIAAgACAAIAAgACAAIAAgACAAIAAgACAAIABIAFMAVABBAEMASwAoAE0ALAAgAFIALAAgAGQALAAgAGcALAAgAHYAKQBcAG4AIAAgACAAIAAgACAAIAAgACAAIAAgACAAKQAsAFwAbgAgACAAIAAgACAAIAAgACAAIAAgACAAIABcAG4AIAAgACAAIAAgACAAIAAgACAAIAAgACAALwAvACAAUgBhAGQAaQB1AHMAIAArACAARABlAG4AcwBpAHQAeQBcAG4AIAAgACAAIAAgACAAIAAgACAAIAAgACAAXAAiAHIAZABcACIALAAgAEwARQBUACgAXABuACAAIAAgACAAIAAgACAAIAAgACAAIAAgACAAIAAgACAAcgAsACAAcABhAHIAYQBtAF8AMQAsAFwAbgAgACAAIAAgACAAIAAgACAAIAAgACAAIAAgACAAIAAgAGQALAAgAHAAYQByAGEAbQBfADIALABcAG4AIAAgACAAIAAgACAAIAAgACAAIAAgACAAIAAgACAAIABtACwAIABkACAAKgAgAFIAIABeACAAMwAsAFwAbgAgACAAIAAgACAAIAAgACAAIAAgACAAIAAgACAAIAAgAGcALAAgAGQAIAAqACAAUgAsAFwAbgAgACAAIAAgACAAIAAgACAAIAAgACAAIAAgACAAIAAgAHYALAAgAFIAIAAqACAAUwBRAFIAVAAoAGQAKQAsAFwAbgAgACAAIAAgACAAIAAgACAAIAAgACAAIAAgACAAIAAgAEgAUwBUAEEAQwBLACgATQAsACAAUgAsACAAZAAsACAAZwAsACAAdgApAFwAbgAgACAAIAAgACAAIAAgACAAIAAgACAAIAApACwAXABuACAAIAAgACAAIAAgACAAIAAgACAAIAAgAFwAbgAgACAAIAAgACAAIAAgACAAIAAgACAAIAAvAC8AIABSAGEAZABpAHUAcwAgACsAIABHAHIAYQB2AGkAdAB5AFwAbgAgACAAIAAgACAAIAAgACAAIAAgACAAIABcACIAcgBnAFwAIgAsACAATABFAFQAKABcAG4AIAAgACAAIAAgACAAIAAgACAAIAAgACAAIAAgACAAIAByACwAIABwAGEAcgBhAG0AXwAxACwAXABuACAAIAAgACAAIAAgACAAIAAgACAAIAAgACAAIAAgACAAZwAsACAAcABhAHIAYQBtAF8AMgAsAFwAbgAgACAAIAAgACAAIAAgACAAIAAgACAAIAAgACAAIAAgAG0ALAAgAGcAIAAqACAAUgAgAF4AIAAyACwAXABuACAAIAAgACAAIAAgACAAIAAgACAAIAAgACAAIAAgACAAZAAsACAAZwAgAC8AIABSACwAXABuACAAIAAgACAAIAAgACAAIAAgACAAIAAgACAAIAAgACAAdgAsACAAUwBRAFIAVAAoAGcAIAAqACAAUgApACwAXABuACAAIAAgACAAIAAgACAAIAAgACAAIAAgACAAIAAgACAASABTAFQAQQBDAEsAKABNACwAIABSACwAIABkACwAIABnACwAIAB2ACkAXABuACAAIAAgACAAIAAgACAAIAAgACAAIAAgACkALABcAG4AIAAgACAAIAAgACAAIAAgACAAIAAgACAAXABuACAAIAAgACAAIAAgACAAIAAgACAAIAAgAC8ALwAgAEQAZQBuAHMAaQB0AHkAIAArACAARwByAGEAdgBpAHQAeQBcAG4AIAAgACAAIAAgACAAIAAgACAAIAAgACAAXAAiAGQAZwBcACIALAAgAEwARQBUACgAXABuACAAIAAgACAAIAAgACAAIAAgACAAIAAgACAAIAAgACAAZAAsACAAcABhAHIAYQBtAF8AMQAsAFwAbgAgACAAIAAgACAAIAAgACAAIAAgACAAIAAgACAAIAAgAGcALAAgAHAAYQByAGEAbQBfADIALABcAG4AIAAgACAAIAAgACAAIAAgACAAIAAgACAAIAAgACAAIAByACwAIABnACAALwAgAGQALABcAG4AIAAgACAAIAAgACAAIAAgACAAIAAgACAAIAAgACAAIABtACwAIABnACAAXgAgADMAIAAvACAAZAAgAF4AIAAyACwAXABuACAAIAAgACAAIAAgACAAIAAgACAAIAAgACAAIAAgACAAdgAsACAAZwAgAC8AIABTAFEAUgBUACgAZAApACwAXABuACAAIAAgACAAIAAgACAAIAAgACAAIAAgACAAIAAgACAASABTAFQAQQBDAEsAKABNACwAIABSACwAIABkACwAIABnACwAIAB2ACkAXABuACAAIAAgACAAIAAgACAAIAAgACAAIAAgACkALABcAG4AIAAgACAAIAAgACAAIAAgACAAIAAgACAAXABuACAAIAAgACAAIAAgACAAIAAgACAAIAAgAC8ALwAgAEQAZQBuAHMAaQB0AHkAIAArACAARQBzAGMAYQBwAGUAIABWAGUAbABvAGMAaQB0AHkAXABuACAAIAAgACAAIAAgACAAIAAgACAAIAAgAFwAIgBkAHYAXAAiACwAIABMAEUAVAAoAFwAbgAgACAAIAAgACAAIAAgACAAIAAgACAAIAAgACAAIAAgAGQALAAgAHAAYQByAGEAbQBfADEALABcAG4AIAAgACAAIAAgACAAIAAgACAAIAAgACAAIAAgACAAIAB2ACwAIABwAGEAcgBhAG0AXwAyACwAXABuACAAIAAgACAAIAAgACAAIAAgACAAIAAgACAAIAAgACAAcgAsACAAdgAgAC8AIABTAFEAUgBUACgAZAApACwAXABuACAAIAAgACAAIAAgACAAIAAgACAAIAAgACAAIAAgACAAbQAsACAAdgAgAF4AIAAzACAALwAgAFMAUQBSAFQAKABkACkALABcAG4AIAAgACAAIAAgACAAIAAgACAAIAAgACAAIAAgACAAIABnACwAIAB2ACAAKgAgAFMAUQBSAFQAKABkACkALABcAG4AIAAgACAAIAAgACAAIAAgACAAIAAgACAAIAAgACAAIABIAFMAVABBAEMASwAoAE0ALAAgAFIALAAgAGQALAAgAGcALAAgAHYAKQBcAG4AIAAgACAAIAAgACAAIAAgACAAIAAgACAAKQAsAFwAbgAgACAAIAAgACAAIAAgACAAIAAgACAAIABcAG4AIAAgACAAIAAgACAAIAAgACAAIAAgACAALwAvACAARwByAGEAdgBpAHQAeQAgACsAIABFAHMAYwBhAHAAZQAgAFYAZQBsAG8AYwBpAHQAeQBcAG4AIAAgACAAIAAgACAAIAAgACAAIAAgACAAXAAiAGcAdgBcACIALAAgAEwARQBUACgAXABuACAAIAAgACAAIAAgACAAIAAgACAAIAAgACAAIAAgACAAZwAsACAAcABhAHIAYQBtAF8AMQAsAFwAbgAgACAAIAAgACAAIAAgACAAIAAgACAAIAAgACAAIAAgAHYALAAgAHAAYQByAGEAbQBfADIALABcAG4AIAAgACAAIAAgACAAIAAgACAAIAAgACAAIAAgACAAIAByACwAIAB2ACAAXgAgADIAIAAvACAAZwAsAFwAbgAgACAAIAAgACAAIAAgACAAIAAgACAAIAAgACAAIAAgAG0ALAAgAHYAIABeACAANAAgAC8AIABnACwAXABuACAAIAAgACAAIAAgACAAIAAgACAAIAAgACAAIAAgACAAZAAsACAAKABnACAALwAgAHYAKQAgAF4AIAAyACwAXABuACAAIAAgACAAIAAgACAAIAAgACAAIAAgACAAIAAgACAASABTAFQAQQBDAEsAKABNACwAIABSACwAIABkACwAIABnACwAIAB2ACkAXABuACAAIAAgACAAIAAgACAAIAAgACAAIAAgACkALABcAG4AIAAgACAAIAAgACAAIAAgACAAIAAgACAAXABuACAAIAAgACAAIAAgACAAIAAgACAAIAAgAC8ALwAgAE0AYQBzAHMAIAArACAARQBzAGMAYQBwAGUAIABWAGUAbABvAGMAaQB0AHkAXABuACAAIAAgACAAIAAgACAAIAAgACAAIAAgAFwAIgBtAHYAXAAiACwAIABMAEUAVAAoAFwAbgAgACAAIAAgACAAIAAgACAAIAAgACAAIAAgACAAIAAgAG0ALAAgAHAAYQByAGEAbQBfADEALABcAG4AIAAgACAAIAAgACAAIAAgACAAIAAgACAAIAAgACAAIAB2ACwAIABwAGEAcgBhAG0AXwAyACwAXABuACAAIAAgACAAIAAgACAAIAAgACAAIAAgACAAIAAgACAAcgAsACAATQAgAC8AIAB2ACAAXgAgADIALABcAG4AIAAgACAAIAAgACAAIAAgACAAIAAgACAAIAAgACAAIABnACwAIAB2ACAAXgAgADQAIAAvACAATQAsAFwAbgAgACAAIAAgACAAIAAgACAAIAAgACAAIAAgACAAIAAgAGQALAAgAHYAIABeACAANgAgAC8AIABNACAAXgAgADIALABcAG4AIAAgACAAIAAgACAAIAAgACAAIAAgACAAIAAgACAAIABIAFMAVABBAEMASwAoAE0ALAAgAFIALAAgAGQALAAgAGcALAAgAHYAKQBcAG4AIAAgACAAIAAgACAAIAAgACAAIAAgACAAKQAsAFwAbgAgACAAIAAgACAAIAAgACAAIAAgACAAIABcAG4AIAAgACAAIAAgACAAIAAgACAAIAAgACAALwAvACAAUgBhAGQAaQB1AHMAIAArACAARQBzAGMAYQBwAGUAIABWAGUAbABvAGMAaQB0AHkAXABuACAAIAAgACAAIAAgACAAIAAgACAAIAAgAFwAIgByAHYAXAAiACwAIABMAEUAVAAoAFwAbgAgACAAIAAgACAAIAAgACAAIAAgACAAIAAgACAAIAAgAHIALAAgAHAAYQByAGEAbQBfADEALABcAG4AIAAgACAAIAAgACAAIAAgACAAIAAgACAAIAAgACAAIAB2ACwAIABwAGEAcgBhAG0AXwAyACwAXABuACAAIAAgACAAIAAgACAAIAAgACAAIAAgACAAIAAgACAAZwAsACAAdgAgAF4AIAAyACAALwAgAFIALABcAG4AIAAgACAAIAAgACAAIAAgACAAIAAgACAAIAAgACAAIABtACwAIABSACAAKgAgAHYAIABeACAAMgAsAFwAbgAgACAAIAAgACAAIAAgACAAIAAgACAAIAAgACAAIAAgAGQALAAgACgAdgAgAC8AIABSACkAIABeACAAMgAsAFwAbgAgACAAIAAgACAAIAAgACAAIAAgACAAIAAgACAAIAAgAEgAUwBUAEEAQwBLACgATQAsACAAUgAsACAAZAAsACAAZwAsACAAdgApAFwAbgAgACAAIAAgACAAIAAgACAAIAAgACAAIAApACwAXABuACAAIAAgACAAIAAgACAAIAAgACAAIAAgAFwAbgAgACAAIAAgACAAIAAgACAAIAAgACAAIAAvAC8AIABEAGUAZgBhAHUAbAB0ACAAZgBhAGwAbABiAGEAYwBrAFwAbgAgACAAIAAgACAAIAAgACAAIAAgACAAIABOAEEAKAApAFwAbgAgACAAIAAgACAAIAAgACAAKQAsAFwAbgAgACAAIAAgACAAIAAgACAAXABuACAAIAAgACAAIAAgACAAIAAvAC8AIABGAG8AcgBtAGEAdAAgAHcAaQB0AGgAIABoAGUAYQBkAGUAcgBzACAAYQBuAGQAIAByAG8AdQBuAGQAaQBuAGcAXABuACAAIAAgACAAIAAgACAAIABoAGUAYQBkAGUAcgBzACwAIABTAFcASQBUAEMASAAoAFwAbgAgACAAIAAgACAAIAAgACAAIAAgACAAIABtAG8AZABlACwAXABuACAAIAAgACAAIAAgACAAIAAgACAAIAAgAFwAIgBtAGQAXAAiACwAIAB7AFwAIgBtACAAlCdcACIALAAgAFwAIgByAFwAIgAsACAAXAAiAGQAIACUJ1wAIgAsACAAXAAiAGcAXAAiACwAIABcACIAdgBcACIAfQAsAFwAbgAgACAAIAAgACAAIAAgACAAIAAgACAAIABcACIAbQByAFwAIgAsACAAewBcACIAbQAgAJQnXAAiACwAIABcACIAcgAgAJQnXAAiACwAIABcACIAZABcACIALAAgAFwAIgBnAFwAIgAsACAAXAAiAHYAXAAiAH0ALABcAG4AIAAgACAAIAAgACAAIAAgACAAIAAgACAAXAAiAG0AZwBcACIALAAgAHsAXAAiAG0AIACUJ1wAIgAsACAAXAAiAHIAXAAiACwAIABcACIAZABcACIALAAgAFwAIgBnACAAlCdcACIALAAgAFwAIgB2AFwAIgB9ACwAXABuACAAIAAgACAAIAAgACAAIAAgACAAIAAgAFwAIgByAGQAXAAiACwAIAB7AFwAIgBtAFwAIgAsACAAXAAiAHIAIACUJ1wAIgAsACAAXAAiAGQAIACUJ1wAIgAsACAAXAAiAGcAXAAiACwAIABcACIAdgBcACIAfQAsAFwAbgAgACAAIAAgACAAIAAgACAAIAAgACAAIABcACIAcgBnAFwAIgAsACAAewBcACIAbQBcACIALAAgAFwAIgByACAAlCdcACIALAAgAFwAIgBkAFwAIgAsACAAXAAiAGcAIACUJ1wAIgAsACAAXAAiAHYAXAAiAH0ALABcAG4AIAAgACAAIAAgACAAIAAgACAAIAAgACAAXAAiAGQAZwBcACIALAAgAHsAXAAiAG0AXAAiACwAIABcACIAcgBcACIALAAgAFwAIgBkACAAlCdcACIALAAgAFwAIgBnACAAlCdcACIALAAgAFwAIgB2AFwAIgB9ACwAXABuACAAIAAgACAAIAAgACAAIAAgACAAIAAgAFwAIgBkAHYAXAAiACwAIAB7AFwAIgBtAFwAIgAsACAAXAAiAHIAXAAiACwAIABcACIAZAAgAJQnXAAiACwAIABcACIAZwBcACIALAAgAFwAIgB2ACAAlCdcACIAfQAsAFwAbgAgACAAIAAgACAAIAAgACAAIAAgACAAIABcACIAZwB2AFwAIgAsACAAewBcACIAbQBcACIALAAgAFwAIgByAFwAIgAsACAAXAAiAGQAXAAiACwAIABcACIAZwAgAJQnXAAiACwAIABcACIAdgAgAJQnXAAiAH0ALABcAG4AIAAgACAAIAAgACAAIAAgACAAIAAgACAAXAAiAG0AdgBcACIALAAgAHsAXAAiAG0AIACUJ1wAIgAsACAAXAAiAHIAXAAiACwAIABcACIAZABcACIALAAgAFwAIgBnAFwAIgAsACAAXAAiAHYAIACUJ1wAIgB9ACwAXABuACAAIAAgACAAIAAgACAAIAAgACAAIAAgAFwAIgByAHYAXAAiACwAIAB7AFwAIgBtAFwAIgAsACAAXAAiAHIAIACUJ1wAIgAsACAAXAAiAGQAXAAiACwAIABcACIAZwBcACIALAAgAFwAIgB2ACAAlCdcACIAfQAsAFwAbgAgACAAIAAgACAAIAAgACAAIAAgACAAIAB7AFwAIgBtAFwAIgAsACAAXAAiAHIAXAAiACwAIABcACIAZABcACIALAAgAFwAIgBnAFwAIgAsACAAXAAiAHYAXAAiAH0AIAAvAC8AIABmAGEAbABsAGIAYQBjAGsAXABuACAAIAAgACAAIAAgACAAIAApACwAXABuACAAIAAgACAAIAAgACAAIAB2AGEAbAB1AGUAcwAsACAAUgBPAFUATgBEACgAbwB1AHQAcAB1AHQALAAgAHAAcgBlAGMAKQAsAFwAbgAgACAAIAAgACAAIAAgACAAQwBIAE8ATwBTAEUAKAB7ADEALAAgADIAfQAsACAAVABSAEEATgBTAFAATwBTAEUAKABoAGUAYQBkAGUAcgBzACkALAAgAFQAUgBBAE4AUwBQAE8AUwBFACgAdgBhAGwAdQBlAHMAKQApAFwAbgAgACAAIAAgACkAXABuACkAOwBcAG4AXABuAC8AKgAgAEEAUwBUAFIATwBfAFMAWQBOAE8ARABJAEMAXwBTAE8ATABWAEUAUgBcAG4AIAAgACAAUAB1AHIAcABvAHMAZQA6AFwAbgAgACAAIABBACAAYwBvAG0AcAByAGUAaABlAG4AcwBpAHYAZQAgAHMAeQBuAG8AZABpAGMAIABwAGUAcgBpAG8AZAAgAHMAbwBsAHYAZQByACAAdABoAGEAdAAgAGMAYQBsAGMAdQBsAGEAdABlAHMAIAB0AGgAZQAgAHQAaABpAHIAZAAgAHYAYQBsAHUAZQAgACgAUAAsACAAUQAsACAAbwByACAAUwApAFwAbgAgACAAIAB3AGgAZQBuACAAYQBuAHkAIAB0AHcAbwAgAG8AZgAgAHQAaABlACAAdABoAHIAZQBlACAAYQByAGUAIABwAHIAbwB2AGkAZABlAGQALgAgAFMAdQBwAHAAbwByAHQAcwAgAG0AdQBsAHQAaQBwAGwAZQAgAGkAbgBwAHUAdAAvAG8AdQB0AHAAdQB0ACAAbQBvAGQAZQBzACAAZgBvAHIAXABuACAAIAAgAHMAYwBpAGUAbgB0AGkAZgBpAGMAIABtAG8AZABlAGwAaQBuAGcALAAgAHAAZQBkAGEAZwBvAGcAaQBjAGEAbAAgAHUAcwBlACwAIABhAG4AZAAgAGYAbABlAHgAaQBiAGwAZQAgAHAAcgBlAHMAZQBuAHQAYQB0AGkAbwBuAC4AXABuAFwAbgAgACAAIABQAGEAcgBhAG0AZQB0AGUAcgBzADoAXABuACAAIAAgAC0AIAB2AGEAbABfADEAIAAoAHIAZQBxAHUAaQByAGUAZAApADoAIABGAGkAcgBzAHQAIABpAG4AcAB1AHQAIAB2AGEAbAB1AGUALgAgAE0AZQBhAG4AaQBuAGcAIABkAGUAcABlAG4AZABzACAAbwBuACAAdABoAGUAIABzAGUAbABlAGMAdABlAGQAIABtAG8AZABlAC4AXABuACAAIAAgAC0AIAB2AGEAbABfADIAIAAoAHIAZQBxAHUAaQByAGUAZAApADoAIABTAGUAYwBvAG4AZAAgAGkAbgBwAHUAdAAgAHYAYQBsAHUAZQAuACAATQBlAGEAbgBpAG4AZwAgAGQAZQBwAGUAbgBkAHMAIABvAG4AIAB0AGgAZQAgAHMAZQBsAGUAYwB0AGUAZAAgAG0AbwBkAGUALgBcAG4AIAAgACAALQAgAG0AbwBkAGUAIAAoAG8AcAB0AGkAbwBuAGEAbAApADoAIAAyAC0AbABlAHQAdABlAHIAIABzAHQAcgBpAG4AZwAgAGkAbgBkAGkAYwBhAHQAaQBuAGcAIABrAG4AbwB3AG4AIABpAG4AcAB1AHQAcwAuACAAQQBjAGMAZQBwAHQAcwAgAGEAbgB5ACAAYwBhAHMAZQAgAG8AcgAgAG8AcgBkAGUAcgAuAFwAbgAgACAAIAAgACAAIAAgAC0AIABcACIAcABxAFwAIgAgAD0AIABzAG8AbAB2AGUAIABmAG8AcgAgAFMAIAAoAHMAeQBuAG8AZABpAGMAIABwAGUAcgBpAG8AZAApAFwAbgAgACAAIAAgACAAIAAgAC0AIABcACIAcABzAFwAIgAgAD0AIABzAG8AbAB2AGUAIABmAG8AcgAgAFEAIAAoAG8AdQB0AGUAcgAgAHMAaQBkAGUAcgBlAGEAbAAgAG8AcgBiAGkAdAApAFwAbgAgACAAIAAgACAAIAAgAC0AIABcACIAcQBzAFwAIgAgAD0AIABzAG8AbAB2AGUAIABmAG8AcgAgAFAAIAAoAGkAbgBuAGUAcgAgAHMAaQBkAGUAcgBlAGEAbAAgAG8AcgBiAGkAdAApAFwAbgAgACAAIAAgACAARABlAGYAYQB1AGwAdAAgAGkAcwAgAFwAIgBwAHEAXAAiACAAaQBmACAAbwBtAGkAdAB0AGUAZAAgAG8AcgAgAGkAbgB2AGEAbABpAGQALgBcAG4AIAAgACAALQAgAGYAbwByAG0AYQB0ACAAKABvAHAAdABpAG8AbgBhAGwAKQA6ACAATwB1AHQAcAB1AHQAIABmAG8AcgBtAGEAdAAgACgAZABlAGYAYQB1AGwAdAAgAD0AIABcACIAYgBhAHIAZQBcACIAKQBcAG4AIAAgACAAIAAgACAAIAAtACAAXAAiAGIAYQByAGUAXAAiACAAIAAgACAAkiEgAHIAZQB0AHUAcgBuAHMAIAB0AGgAZQAgAHMAbwBsAHYAZQBkACAAdgBhAGwAdQBlACAAbwBuAGwAeQBcAG4AIAAgACAAIAAgACAAIAAtACAAXAAiAGwAYQBiAGUAbABlAGQAXAAiACAAkiEgAHIAZQB0AHUAcgBuAHMAIABcACIAUAAgAD0AIAAzADYANQAuADIANQBcACIALAAgAFwAIgBTACAAPQAgADcANwA5AC4AOAA4AFwAIgAsACAAZQB0AGMALgAsACAAZABlAHAAZQBuAGQAaQBuAGcAIABvAG4AIABtAG8AZABlAFwAbgAgACAAIAAgACAAIAAgAC0AIABcACIAdgBlAHIAYgBvAHMAZQBcACIAIACSISAAcgBlAHQAdQByAG4AcwAgAGkAbgBsAGkAbgBlACAAdABlAHgAdAAgAG8AZgAgAGEAbABsACAAdABoAHIAZQBlACAAdgBhAGwAdQBlAHMAIAB3AGkAdABoACAAHiYgAG8AbgAgAHMAbwBsAHYAZQBkACAAdgBhAGwAdQBlAFwAbgAgACAAIAAgACAAIAAgAC0AIABcACIAcgBvAHcAXAAiACAAIAAgACAAIACSISAAcgBlAHQAdQByAG4AcwAgADEAeAAzACAAYQByAHIAYQB5ACAAdwBpAHQAaAAgAFAALAAgAFEALAAgAGEAbgBkACAAUwAgAGwAYQBiAGUAbABzACAAYQBuAGQAIAB2AGEAbAB1AGUAcwBcAG4AIAAgACAAIAAgACAAIAAtACAAXAAiAGMAbwBsAFwAIgAgACAAIAAgACAAkiEgAHIAZQB0AHUAcgBuAHMAIAAzAHgAMgAgAHYAZQByAHQAaQBjAGEAbAAgAGEAcgByAGEAeQA6ACAAewBcACIAUAAgAD0AXAAiACwAIAAzADYANQAuADIANQA7ACAAXAAiAFEAIAA9AFwAIgAsACAANgA4ADcAOwAgAFwAIgBTACAAHiZcACIALAAgADcANwA5AC4AOAA4AH0AXABuACAAIAAgAC0AIABwAHIAZQBjACAAKABvAHAAdABpAG8AbgBhAGwAKQA6ACAARABlAGMAaQBtAGEAbAAgAHAAcgBlAGMAaQBzAGkAbwBuACAAdABvACAAcgBvAHUAbgBkACAAcgBlAHMAdQBsAHQAcwAgACgAZABlAGYAYQB1AGwAdAAgAD0AIAA0ACkAXABuAFwAbgAgACAAIABSAGUAdAB1AHIAbgBzADoAXABuACAAIAAgAC0AIABBACAAcwBjAGEAbABhAHIAIAB2AGEAbAB1AGUAIABvAHIAIABhACAAbABhAGIAZQBsAGUAZAAvAHMAcABpAGwAbAAgAGEAcgByAGEAeQAgAGQAZQBwAGUAbgBkAGkAbgBnACAAbwBuACAAcwBlAGwAZQBjAHQAZQBkACAAZgBvAHIAbQBhAHQALgBcAG4AIAAgACAALQAgAEkAbgAgAGEAbABsACAAYwBhAHMAZQBzACwAIAB0AGgAZQAgAGMAYQBsAGMAdQBsAGEAdABlAGQAIAAoAHMAbwBsAHYAZQBkACkAIAB2AGEAbAB1AGUAIABpAHMAIABmAGwAYQBnAGcAZQBkACAAdwBpAHQAaAAgAGEAIAByAGkAZwBoAHQAIABhAHIAcgBvAHcAIAAoAB4mKQAuAFwAbgBcAG4AIAAgACAATgBvAHQAZQBzADoAXABuACAAIAAgAC0AIABTAHkAbgBvAGQAaQBjACAAcABlAHIAaQBvAGQAIABmAG8AcgBtAHUAbABhADoAIABTACAAPQAgACgAUAAgACoAIABRACkAIAAvACAAfABQACAALQAgAFEAfABcAG4AIAAgACAALQAgAEkAbgB2AGUAcgBzAGUAIABzAG8AbAB1AHQAaQBvAG4AcwA6AFwAbgAgACAAIAAgACAAIAAgAC0AIABRACAAPQAgACgAUAAgACoAIABTACkAIAAvACAAfABQACAALQAgAFMAfABcAG4AIAAgACAAIAAgACAAIAAtACAAUAAgAD0AIAAoAFEAIAAqACAAUwApACAALwAgAHwAUQAgAC0AIABTAHwAXABuACAAIAAgAC0AIABJAG4AcAB1AHQAcwAgAGEAcgBlACAAYQB1AHQAbwAtAG8AcgBkAGUAcgBlAGQAIABhAHMAIABuAGUAZQBkAGUAZAAgAGYAbwByACAAcwB0AGEAYgBpAGwAaQB0AHkAIAAoAGUALgBnAC4ALAAgAFAAIAA9ACAAbQBhAHgAKAB2AGEAbAAxACwAIAB2AGEAbAAyACkAIABpAG4AIABcACIAcABxAFwAIgAgAG0AbwBkAGUAKQAuAFwAbgAgACAAIAAtACAATQBvAGQAZQAgAGkAcwAgAGMAYQBzAGUALQBpAG4AcwBlAG4AcwBpAHQAaQB2AGUAIABhAG4AZAAgAGEAdQB0AG8ALQBuAG8AcgBtAGEAbABpAHoAZQBkACAAKABlAC4AZwAuACwAIABcACIAUQBTAFwAIgAsACAAXAAiAHMAcQBcACIALAAgAGEAbgBkACAAXAAiAHMAUQBcACIAIABhAGwAbAAgAJIhIABcACIAcQBzAFwAIgApAC4AXABuACAAIAAgAC0AIABPAHUAdABwAHUAdAAgAGYAbwByAG0AYQB0AHMAIABzAHUAcABwAG8AcgB0ACAAaAB1AG0AYQBuAC0AcgBlAGEAZABhAGIAbABlACAAcgBlAHMAdQBsAHQAcwAgAGEAbgBkACAAcwB0AHIAdQBjAHQAdQByAGUAZAAgAHQAYQBiAGwAZQAgAGkAbgB0AGUAZwByAGEAdABpAG8AbgAuAFwAbgAgACAAIAAtACAARABlAHMAaQBnAG4AZQBkACAAYQBzACAAYQAgAGcAZQBuAGUAcgBhAGwALQBwAHUAcgBwAG8AcwBlACAAZQBuAGcAaQBuAGUAIABmAG8AcgAgAHUAcwBlACAAaQBuACAAYQBzAHQAcgBvAG4AbwBtAHkAIABtAG8AZABlAGwAcwAgAGEAbgBkACAAZQBkAHUAYwBhAHQAaQBvAG4AYQBsACAAdABvAG8AbABzAC4AXABuAFwAbgAgACAAIABFAHgAYQBtAHAAbABlACAAMQA6AFwAbgAgACAAIAAgACAAQQBTAFQAUgBPAF8AUwBZAE4ATwBEAEkAQwBfAFMATwBMAFYARQBSACgAMwA2ADUALgAyADUALAAgADYAOAA3ACwAIABcACIAcABxAFwAIgAsACAAXAAiAGIAYQByAGUAXAAiACwAIAA0ACkAXABuACAAIAAgACAAIAAgACAAkiEgADcANwA5AC4AOAA4ADEAMQBcAG4AXABuACAAIAAgAEUAeABhAG0AcABsAGUAIAAyADoAXABuACAAIAAgACAAIABBAFMAVABSAE8AXwBTAFkATgBPAEQASQBDAF8AUwBPAEwAVgBFAFIAKAAzADYANQAuADIANQAsACAANgA4ADcALAAgAFwAIgBwAHEAXAAiACwAIABcACIAdgBlAHIAYgBvAHMAZQBcACIAKQBcAG4AIAAgACAAIAAgACAAIACSISAAXAAiAFAAIAA9ACAAMwA2ADUALgAyADUALAAgAFEAIAA9ACAANgA4ADcALAAgAFMAIAA9ACAAHiYgADcANwA5AC4AOAA4ADEAMQBcACIAXABuAFwAbgAgACAAIABFAHgAYQBtAHAAbABlACAAMwA6AFwAbgAgACAAIAAgACAAQQBTAFQAUgBPAF8AUwBZAE4ATwBEAEkAQwBfAFMATwBMAFYARQBSACgANgA4ADcALAAgADcANwA5AC4AOAA4ADEAMQAsACAAXAAiAHEAcwBcACIALAAgAFwAIgBjAG8AbABcACIAKQBcAG4AIAAgACAAIAAgACAAIACSIVwAbgAgACAAIAAgACAAIAAgACAAIABQACAAHiYgACAAIAAgADMANgA1AC4AMgA1AFwAbgAgACAAIAAgACAAIAAgACAAIABRACAAPQAgACAAIAAgADYAOAA3AFwAbgAgACAAIAAgACAAIAAgACAAIABTACAAPQAgACAAIAAgADcANwA5AC4AOAA4ADEAMQBcAG4AXABuACAAIAAgAFIAZQBjAG8AbQBtAGUAbgBkAGEAdABpAG8AbgA6AFwAbgAgACAAIAAtACAARgBvAHIAIABnAGUAbgBlAHIAYQBsACAAdQBzAGUAcgBzACwAIABjAG8AbgBzAGkAZABlAHIAIAB1AHMAaQBuAGcAIABvAG4AZQAgAG8AZgAgAHQAaABlACAAcwBpAG0AcABsAGUAcgAgAHcAcgBhAHAAcABlAHIAIABmAHUAbgBjAHQAaQBvAG4AcwA6AFwAbgAgACAAIAAgACAAIAAgAC0AIABBAFMAVABSAE8AXwBTAFkATgBPAEQASQBDAF8AUABRACgAUAAsACAAUQApAFwAbgAgACAAIAAgACAAIAAgAC0AIABBAFMAVABSAE8AXwBTAFkATgBPAEQASQBDAF8AUABTACgAUAAsACAAUwApAFwAbgAgACAAIAAgACAAIAAgAC0AIABBAFMAVABSAE8AXwBTAFkATgBPAEQASQBDAF8AUQBTACgAUQAsACAAUwApAFwAbgAgACAAIAAtACAAVABoAGkAcwAgAGYAdQBuAGMAdABpAG8AbgAgAGkAcwAgAGkAbgB0AGUAbgBkAGUAZAAgAGYAbwByACAAYQBkAHYAYQBuAGMAZQBkACAAdQBzAGUAIABjAGEAcwBlAHMAIABhAG4AZAAgAFUASQAtAGkAbgB0AGUAZwByAGEAdABlAGQAIABvAHUAdABwAHUAdAAuAFwAbgBcAG4AKgAvAFwAbgBBAFMAVABSAE8AXwBTAFkATgBPAEQASQBDAF8AUwBPAEwAVgBFAFIAIAA9ACAATABBAE0AQgBEAEEAKAB2AGEAbABfADEALAAgAHYAYQBsAF8AMgAsACAAWwBtAG8AZABlAF0ALAAgAFsAZgBvAHIAbQBhAHQAXQAsACAAWwBwAHIAZQBjAF0ALABcAG4AIAAgACAAIABMAEUAVAAoAFwAbgAgACAAIAAgACAAIAAgACAALwAvACAASABhAG4AZABsAGUAIABvAHAAdABpAG8AbgBhAGwAIABhAHIAZwB1AG0AZQBuAHQAcwBcAG4AIAAgACAAIAAgACAAIAAgAHIAYQB3AF8AbQBvAGQAZQAsACAASQBGACgASQBTAE8ATQBJAFQAVABFAEQAKABtAG8AZABlACkAIAArACAAKABtAG8AZABlACAAPQAgAFwAIgBcACIAKQAsACAAXAAiAFAAUQBcACIALAAgAG0AbwBkAGUAKQAsAFwAbgAgACAAIAAgACAAIAAgACAAbgBvAHIAbQBfAG0AbwBkAGUALAAgAFQARQBYAFQASgBPAEkATgAoAFwAIgBcACIALAAgACwAIABTAE8AUgBUACgATQBJAEQAKABMAE8AVwBFAFIAKAByAGEAdwBfAG0AbwBkAGUAKQAsACAAUwBFAFEAVQBFAE4AQwBFACgATABFAE4AKAByAGEAdwBfAG0AbwBkAGUAKQApACwAIAAxACkAKQApACwAXABuACAAIAAgACAAIAAgACAAIABtAG8AZABlACwAIABuAG8AcgBtAF8AbQBvAGQAZQAsAFwAbgAgACAAIAAgACAAIAAgACAAZgBvAHIAbQBhAHQALAAgAEkARgAoAEkAUwBPAE0ASQBUAFQARQBEACgAZgBvAHIAbQBhAHQAKQAgACsAIAAoAGYAbwByAG0AYQB0ACAAPQAgAFwAIgBcACIAKQAsACAAXAAiAGIAYQByAGUAXAAiACwAIABMAE8AVwBFAFIAKABmAG8AcgBtAGEAdAApACkALABcAG4AIAAgACAAIAAgACAAIAAgAHAAcgBlAGMALAAgAEkARgAoAEkAUwBPAE0ASQBUAFQARQBEACgAcAByAGUAYwApACwAIAA0ACwAIABwAHIAZQBjACkALABcAG4AIAAgACAAIAAgACAAIAAgAFwAbgAgACAAIAAgACAAIAAgACAALwAvACAASQBuAHAAdQB0ACAAdQBuAHAAYQBjAGsAaQBuAGcAIABiAHkAIABtAG8AZABlAFwAbgAgACAAIAAgACAAIAAgACAAUABfAGkAbgAsACAASQBGACgATwBSACgAbQBvAGQAZQAgAD0AIABcACIAcABxAFwAIgAsACAAbQBvAGQAZQAgAD0AIABcACIAcABzAFwAIgApACwAIAB2AGEAbABfADEALAAgAE4AQQAoACkAKQAsAFwAbgAgACAAIAAgACAAIAAgACAAUQBfAGkAbgAsACAASQBGACgAbQBvAGQAZQAgAD0AIABcACIAcABxAFwAIgAsACAAdgBhAGwAXwAyACwAIABJAEYAKABtAG8AZABlACAAPQAgAFwAIgBxAHMAXAAiACwAIAB2AGEAbABfADEALAAgAE4AQQAoACkAKQApACwAXABuACAAIAAgACAAIAAgACAAIABTAF8AaQBuACwAIABJAEYAKABPAFIAKABtAG8AZABlACAAPQAgAFwAIgBwAHMAXAAiACwAIABtAG8AZABlACAAPQAgAFwAIgBxAHMAXAAiACkALAAgAHYAYQBsAF8AMgAsACAATgBBACgAKQApACwAXABuACAAIAAgACAAIAAgACAAIABcAG4AIAAgACAAIAAgACAAIAAgAC8ALwAgAFAAIABhAG4AZAAgAFEAIABvAHIAZABlAHIAaQBuAGcAIABvAG4AbAB5ACAAdQBzAGUAZAAgAGkAbgAgACcAcABxACcAIABtAG8AZABlAFwAbgAgACAAIAAgACAAIAAgACAAUAAsACAASQBGACgAQQBOAEQAKABJAFMATgBVAE0AQgBFAFIAKABQAF8AaQBuACkALAAgAEkAUwBOAFUATQBCAEUAUgAoAFEAXwBpAG4AKQApACwAIABNAEEAWAAoAFAAXwBpAG4ALAAgAFEAXwBpAG4AKQAsACAAUABfAGkAbgApACwAXABuACAAIAAgACAAIAAgACAAIABRACwAIABJAEYAKABBAE4ARAAoAEkAUwBOAFUATQBCAEUAUgAoAFAAXwBpAG4AKQAsACAASQBTAE4AVQBNAEIARQBSACgAUQBfAGkAbgApACkALAAgAE0ASQBOACgAUABfAGkAbgAsACAAUQBfAGkAbgApACwAIABRAF8AaQBuACkALABcAG4AIAAgACAAIAAgACAAIAAgAFwAbgAgACAAIAAgACAAIAAgACAALwAvACAAUwB5AG4AbwBkAGkAYwAgAHAAZQByAGkAbwBkACAAYwBhAGwAYwB1AGwAYQB0AGkAbwBuAFwAbgAgACAAIAAgACAAIAAgACAAUwBfAGMAYQBsAGMALAAgAEkARgAoAFAAIAA9ACAAUQAsACAATgBBACgAKQAsACAAUgBPAFUATgBEACgAKABQACAAKgAgAFEAKQAgAC8AIAAoAFAAIAAtACAAUQApACwAIABwAHIAZQBjACkAKQAsAFwAbgAgACAAIAAgACAAIAAgACAAXABuACAAIAAgACAAIAAgACAAIAAvAC8AIABEAGkAcgBlAGMAdABpAG8AbgAtAGEAdwBhAHIAZQAgAGkAbgB2AGUAcgBzAGUAIABjAGEAbABjAHUAbABhAHQAaQBvAG4AcwBcAG4AIAAgACAAIAAgACAAIAAgAFEAXwBjAGEAbABjACwAIABJAEYAKABcAG4AIAAgACAAIAAgACAAIAAgACAAIAAgACAATwBSACgATgBPAFQAKABJAFMATgBVAE0AQgBFAFIAKABQACkAKQAsACAATgBPAFQAKABJAFMATgBVAE0AQgBFAFIAKABTAF8AaQBuACkAKQApACwAXABuACAAIAAgACAAIAAgACAAIAAgACAAIAAgAE4AQQAoACkALABcAG4AIAAgACAAIAAgACAAIAAgACAAIAAgACAAUgBPAFUATgBEACgAKABQACAAKgAgAFMAXwBpAG4AKQAgAC8AIABBAEIAUwAoAFAAIAAtACAAUwBfAGkAbgApACwAIABwAHIAZQBjACkAXABuACAAIAAgACAAIAAgACAAIAApACwAXABuACAAIAAgACAAIAAgACAAIABQAF8AYwBhAGwAYwAsACAASQBGACgAXABuACAAIAAgACAAIAAgACAAIAAgACAAIAAgAE8AUgAoAE4ATwBUACgASQBTAE4AVQBNAEIARQBSACgAUQApACkALAAgAE4ATwBUACgASQBTAE4AVQBNAEIARQBSACgAUwBfAGkAbgApACkAKQAsAFwAbgAgACAAIAAgACAAIAAgACAAIAAgACAAIABOAEEAKAApACwAXABuACAAIAAgACAAIAAgACAAIAAgACAAIAAgAFIATwBVAE4ARAAoACgAUQAgACoAIABTAF8AaQBuACkAIAAvACAAQQBCAFMAKABRACAALQAgAFMAXwBpAG4AKQAsACAAcAByAGUAYwApAFwAbgAgACAAIAAgACAAIAAgACAAKQAsAFwAbgAgACAAIAAgACAAIAAgACAAXABuACAAIAAgACAAIAAgACAAIAAvAC8AIABTAGUAbABlAGMAdABlAGQAIAByAGUAcwB1AGwAdAAgAHYAYQBsAHUAZQBzAFwAbgAgACAAIAAgACAAIAAgACAAUABfAHYAYQBsACwAIABJAEYAKABtAG8AZABlACAAPQAgAFwAIgBxAHMAXAAiACwAIABQAF8AYwBhAGwAYwAsACAAUAApACwAXABuACAAIAAgACAAIAAgACAAIABRAF8AdgBhAGwALAAgAEkARgAoAG0AbwBkAGUAIAA9ACAAXAAiAHAAcwBcACIALAAgAFEAXwBjAGEAbABjACwAIABRACkALABcAG4AIAAgACAAIAAgACAAIAAgAFMAXwB2AGEAbAAsACAASQBGACgAbQBvAGQAZQAgAD0AIABcACIAcABxAFwAIgAsACAAUwBfAGMAYQBsAGMALAAgAFMAXwBpAG4AKQAsAFwAbgAgACAAIAAgACAAIAAgACAAXABuACAAIAAgACAAIAAgACAAIAAvAC8AIABTAG8AbAB2AGUAZAAgAGwAYQBiAGUAbABcAG4AIAAgACAAIAAgACAAIAAgAGwAYQBiAGUAbAAsACAAUwBXAEkAVABDAEgAKABtAG8AZABlACwAIABcACIAcABxAFwAIgAsACAAXAAiAFMAXAAiACwAIABcACIAcABzAFwAIgAsACAAXAAiAFEAXAAiACwAIABcACIAcQBzAFwAIgAsACAAXAAiAFAAXAAiACwAIABcACIAPwBcACIAKQAsAFwAbgAgACAAIAAgACAAIAAgACAAXABuACAAIAAgACAAIAAgACAAIAAvAC8AIABQAHIAaQBtAGEAcgB5ACAAcwBjAGEAbABhAHIAIAByAGUAcwB1AGwAdABcAG4AIAAgACAAIAAgACAAIAAgAHIAZQBzAHUAbAB0ACwAIABTAFcASQBUAEMASAAoAG0AbwBkAGUALAAgAFwAIgBwAHEAXAAiACwAIABTAF8AYwBhAGwAYwAsACAAXAAiAHAAcwBcACIALAAgAFEAXwBjAGEAbABjACwAIABcACIAcQBzAFwAIgAsACAAUABfAGMAYQBsAGMALAAgAE4AQQAoACkAKQAsAFwAbgAgACAAIAAgACAAIAAgACAAXABuACAAIAAgACAAIAAgACAAIAAvAC8AIABWAGUAcgBiAG8AcwBlACAAdABlAHgAdAAgAG8AdQB0AHAAdQB0AFwAbgAgACAAIAAgACAAIAAgACAAdgBlAHIAYgBvAHMAZQBfAG8AdQB0ACwAIABcACIAUAAgAD0AIABcACIAIAAmACAASQBGACgASQBTAE4AVQBNAEIARQBSACgAUABfAHYAYQBsACkALAAgAEkARgAoAG0AbwBkAGUAIAA9ACAAXAAiAHEAcwBcACIALAAgAFwAIgAeJiAAXAAiACAAJgAgAFAAXwB2AGEAbAAsACAAUABfAHYAYQBsACkALAAgAFwAIgAUIFwAIgApACAAJgBcAG4AIAAgACAAIAAgACAAIAAgACAAIAAgACAAXAAiACwAIABcACIAIAAmACAAXAAiAFEAIAA9ACAAXAAiACAAJgAgAEkARgAoAEkAUwBOAFUATQBCAEUAUgAoAFEAXwB2AGEAbAApACwAIABJAEYAKABtAG8AZABlACAAPQAgAFwAIgBwAHMAXAAiACwAIABcACIAHiYgAFwAIgAgACYAIABRAF8AdgBhAGwALAAgAFEAXwB2AGEAbAApACwAIABcACIAFCBcACIAKQAgACYAIABcACIALAAgAFwAIgAgACYAXABuACAAIAAgACAAIAAgACAAIAAgACAAIAAgAFwAIgBTACAAPQAgAFwAIgAgACYAIABJAEYAKABJAFMATgBVAE0AQgBFAFIAKABTAF8AdgBhAGwAKQAsACAASQBGACgAbQBvAGQAZQAgAD0AIABcACIAcABxAFwAIgAsACAAXAAiAB4mIABcACIAIAAmACAAUwBfAHYAYQBsACwAIABTAF8AdgBhAGwAKQAsACAAXAAiABQgXAAiACkALABcAG4AIAAgACAAIAAgACAAIAAgAFwAbgAgACAAIAAgACAAIAAgACAALwAvACAAUwBwAGkAbABsAGEAYgBsAGUAIAB0AGEAYgB1AGwAYQByACAAbwB1AHQAcAB1AHQAcwBcAG4AIAAgACAAIAAgACAAIAAgAHIAbwB3AF8AbwB1AHQALAAgAFYAUwBUAEEAQwBLACgAXABuACAAIAAgACAAIAAgACAAIAAgACAAIAAgAEgAUwBUAEEAQwBLACgAXABuACAAIAAgACAAIAAgACAAIAAgACAAIAAgACAAIAAgACAASQBGACgAbQBvAGQAZQAgAD0AIABcACIAcQBzAFwAIgAsACAAXAAiAFAAIAAeJlwAIgAsACAAXAAiAFAAIAA9AFwAIgApACwAXABuACAAIAAgACAAIAAgACAAIAAgACAAIAAgACAAIAAgACAASQBGACgAbQBvAGQAZQAgAD0AIABcACIAcABzAFwAIgAsACAAXAAiAFEAIAAeJlwAIgAsACAAXAAiAFEAIAA9AFwAIgApACwAXABuACAAIAAgACAAIAAgACAAIAAgACAAIAAgACAAIAAgACAASQBGACgAbQBvAGQAZQAgAD0AIABcACIAcABxAFwAIgAsACAAXAAiAFMAIAAeJlwAIgAsACAAXAAiAFMAIAA9AFwAIgApAFwAbgAgACAAIAAgACAAIAAgACAAIAAgACAAIAApACwAXABuACAAIAAgACAAIAAgACAAIAAgACAAIAAgAEgAUwBUAEEAQwBLACgAUABfAHYAYQBsACwAIABRAF8AdgBhAGwALAAgAFMAXwB2AGEAbAApAFwAbgAgACAAIAAgACAAIAAgACAAKQAsAFwAbgAgACAAIAAgACAAIAAgACAAYwBvAGwAXwBvAHUAdAAsACAAVgBTAFQAQQBDAEsAKABcAG4AIAAgACAAIAAgACAAIAAgACAAIAAgACAASABTAFQAQQBDAEsAKABJAEYAKABtAG8AZABlACAAPQAgAFwAIgBxAHMAXAAiACwAIABcACIAUAAgAB4mXAAiACwAIABcACIAUAAgAD0AXAAiACkALAAgAFAAXwB2AGEAbAApACwAXABuACAAIAAgACAAIAAgACAAIAAgACAAIAAgAEgAUwBUAEEAQwBLACgASQBGACgAbQBvAGQAZQAgAD0AIABcACIAcABzAFwAIgAsACAAXAAiAFEAIAAeJlwAIgAsACAAXAAiAFEAIAA9AFwAIgApACwAIABRAF8AdgBhAGwAKQAsAFwAbgAgACAAIAAgACAAIAAgACAAIAAgACAAIABIAFMAVABBAEMASwAoAEkARgAoAG0AbwBkAGUAIAA9ACAAXAAiAHAAcQBcACIALAAgAFwAIgBTACAAHiZcACIALAAgAFwAIgBTACAAPQBcACIAKQAsACAAUwBfAHYAYQBsACkAXABuACAAIAAgACAAIAAgACAAIAApACwAXABuACAAIAAgACAAIAAgACAAIABcAG4AIAAgACAAIAAgACAAIAAgAC8ALwAgAEYAaQBuAGEAbAAgAHMAdwBpAHQAYwBoACAAZgBvAHIAIAByAGUAdAB1AHIAbgAgAHQAeQBwAGUAXABuACAAIAAgACAAIAAgACAAIABvAHUAdABwAHUAdAAsACAAUwBXAEkAVABDAEgAKABcAG4AIAAgACAAIAAgACAAIAAgACAAIAAgACAAZgBvAHIAbQBhAHQALABcAG4AIAAgACAAIAAgACAAIAAgACAAIAAgACAAXAAiAGIAYQByAGUAXAAiACwAIAByAGUAcwB1AGwAdAAsAFwAbgAgACAAIAAgACAAIAAgACAAIAAgACAAIABcACIAbABhAGIAZQBsAGUAZABcACIALAAgAGwAYQBiAGUAbAAgACYAIABcACIAIAA9ACAAXAAiACAAJgAgAHIAZQBzAHUAbAB0ACwAXABuACAAIAAgACAAIAAgACAAIAAgACAAIAAgAFwAIgB2AGUAcgBiAG8AcwBlAFwAIgAsACAAdgBlAHIAYgBvAHMAZQBfAG8AdQB0ACwAXABuACAAIAAgACAAIAAgACAAIAAgACAAIAAgAFwAIgByAG8AdwBcACIALAAgAHIAbwB3AF8AbwB1AHQALABcAG4AIAAgACAAIAAgACAAIAAgACAAIAAgACAAXAAiAGMAbwBsAFwAIgAsACAAYwBvAGwAXwBvAHUAdAAsAFwAbgAgACAAIAAgACAAIAAgACAAIAAgACAAIABcACIASQBuAHYAYQBsAGkAZAAgAGYAbwByAG0AYQB0AFwAIgBcAG4AIAAgACAAIAAgACAAIAAgACkALABcAG4AIAAgACAAIAAgACAAIAAgAG8AdQB0AHAAdQB0AFwAbgAgACAAIAAgACkAXABuACkAOwBcAG4AXABuAC8AKgAgAEEAUwBUAFIATwBfAFMAWQBOAE8ARABJAEMAXwBQAFEAXABuACAAIAAgAFAAdQByAHAAbwBzAGUAOgBcAG4AIAAgACAAQwBhAGwAYwB1AGwAYQB0AGUAcwAgAHQAaABlACAAcwB5AG4AbwBkAGkAYwAgAHAAZQByAGkAbwBkACAAKABTACkAIABiAGUAdAB3AGUAZQBuACAAdAB3AG8AIABwAGwAYQBuAGUAdABhAHIAeQAgAGIAbwBkAGkAZQBzAFwAbgAgACAAIABiAGEAcwBlAGQAIABvAG4AIAB0AGgAZQBpAHIAIABzAGkAZABlAHIAZQBhAGwAIABvAHIAYgBpAHQAYQBsACAAcABlAHIAaQBvAGQAcwAgAFAAIABhAG4AZAAgAFEALgBcAG4AXABuACAAIAAgAFAAYQByAGEAbQBlAHQAZQByAHMAOgBcAG4AIAAgACAALQAgAFAAIAAoAHIAZQBxAHUAaQByAGUAZAApADoAIABTAGkAZABlAHIAZQBhAGwAIABvAHIAYgBpAHQAYQBsACAAcABlAHIAaQBvAGQAIABvAGYAIAB0AGgAZQAgAGkAbgBuAGUAcgAgACgAZgBhAHMAdABlAHIAKQAgAGIAbwBkAHkAXABuACAAIAAgAC0AIABRACAAKAByAGUAcQB1AGkAcgBlAGQAKQA6ACAAUwBpAGQAZQByAGUAYQBsACAAbwByAGIAaQB0AGEAbAAgAHAAZQByAGkAbwBkACAAbwBmACAAdABoAGUAIABvAHUAdABlAHIAIAAoAHMAbABvAHcAZQByACkAIABiAG8AZAB5AFwAbgAgACAAIAAtACAAbwB1AHQAcAB1AHQAIAAoAG8AcAB0AGkAbwBuAGEAbAApADoAIABPAHUAdABwAHUAdAAgAGYAbwByAG0AYQB0AC4AIABcAG4AIAAgACAAIAAgACAAIAAtACAAXAAiAGIAYQByAGUAXAAiACAAPQAgAFIAZQB0AHUAcgBuAHMAIABzAHkAbgBvAGQAaQBjACAAcABlAHIAaQBvAGQAIABvAG4AbAB5ACAAKABkAGUAZgBhAHUAbAB0ACkAXABuACAAIAAgACAAIAAgACAALQAgAFwAIgB2AGUAcgBiAG8AcwBlAFwAIgAgAD0AIABSAGUAdAB1AHIAbgBzACAAYQAgADIALQBjAG8AbAB1AG0AbgAgAHYAZQByAHQAaQBjAGEAbAAgAHQAYQBiAGwAZQA6ACAAUAAsACAAUQAsACAAUwAsACAAdwBpAHQAaAAgAHQAaABlACAAcgBlAHMAdQBsAHQAIABmAGwAYQBnAGcAZQBkACAAKAAeJikAXABuACAAIAAgAC0AIABwAHIAZQBjACAAKABvAHAAdABpAG8AbgBhAGwAKQA6ACAARABlAGMAaQBtAGEAbAAgAHAAcgBlAGMAaQBzAGkAbwBuACAAKABkAGUAZgBhAHUAbAB0ACAAPQAgADQAKQBcAG4AXABuACAAIAAgAFIAZQB0AHUAcgBuAHMAOgBcAG4AIAAgACAALQAgAFMAeQBuAG8AZABpAGMAIABwAGUAcgBpAG8AZAAgACgAYgBhAHIAZQApACwAIABvAHIAXABuACAAIAAgAC0AIABWAGUAcgBiAG8AcwBlACAAMgAtAGMAbwBsAHUAbQBuACAAYQByAHIAYQB5ACAAdwBpAHQAaAAgAGwAYQBiAGUAbABlAGQAIABQACwAIABRACwAIABhAG4AZAAgAFMAIAB2AGEAbAB1AGUAcwBcAG4AIAAgACAAIAAgACgAUwAgAGkAcwAgAGYAbABhAGcAZwBlAGQAIAB3AGkAdABoACAAYQAgAB4mIAB0AG8AIABpAG4AZABpAGMAYQB0AGUAIABpAHQAJwBzACAAdABoAGUAIABzAG8AbAB2AGUAZAAgAHYAYQBsAHUAZQApAFwAbgBcAG4AIAAgACAATgBvAHQAZQBzADoAXABuACAAIAAgAC0AIABTACAAPQAgACgAUAAgANcAIABRACkAIAAvACAAfABQACAAEiIgAFEAfAAsACAAYQBzAHMAdQBtAGkAbgBnACAAUAAgAGAiIABRAFwAbgAgACAAIAAtACAASQBuAHAAdQB0AHMAIABtAGEAeQAgAGIAZQAgAHAAcgBvAHYAaQBkAGUAZAAgAGkAbgAgAGEAbgB5ACAAbwByAGQAZQByADsAIAB0AGgAZQAgAGYAdQBuAGMAdABpAG8AbgAgAGkAbgB0AGUAcgBuAGEAbABsAHkAIABhAHMAcwBpAGcAbgBzACAAUAAvAFEAIABmAG8AcgAgAGMAbwByAHIAZQBjAHQAIABjAGEAbABjAHUAbABhAHQAaQBvAG4AXABuACAAIAAgAC0AIABVAHMAZQBmAHUAbAAgAGYAbwByACAAcAByAGUAZABpAGMAdABpAG4AZwAgAGMAbwBuAGoAdQBuAGMAdABpAG8AbgAgAGkAbgB0AGUAcgB2AGEAbABzACAAbwByACAAbwByAGIAaQB0AGEAbAAgAHIAZQBzAG8AbgBhAG4AYwBlACAAbQBvAGQAZQBsAGkAbgBnAFwAbgBcAG4AIAAgACAARQB4AGEAbQBwAGwAZQA6AFwAbgAgACAAIABBAFMAVABSAE8AXwBTAFkATgBPAEQASQBDAF8AUABRACgAMwA2ADUALgAyADUALAAgADYAOAA3ACwAIABcACIAdgBlAHIAYgBvAHMAZQBcACIALAAgADQAKQBcAG4AIAAgACAAIAAgAJIhXABuACAAIAAgACAAIAAgACAAUAAgAD0AIAAgACAAIAAgACAAMwA2ADUALgAyADUAXABuACAAIAAgACAAIAAgACAAUQAgAD0AIAAgACAAIAAgACAANgA4ADcAXABuACAAIAAgACAAIAAgACAAUwAgAB4mIAA9ACAAIAAgACAANwA3ADkALgA4ADgAMQAxAFwAbgAqAC8AXABuAEEAUwBUAFIATwBfAFMAWQBOAE8ARABJAEMAXwBQAFEAIAA9ACAATABBAE0AQgBEAEEAKABQACwAIABRACwAIABbAG8AdQB0AHAAdQB0AF0ALAAgAFsAcAByAGUAYwBdACwAXABuACAAIAAgACAATABFAFQAKABcAG4AIAAgACAAIAAgACAAIAAgAC8ALwAgAEgAYQBuAGQAbABlACAAbwBwAHQAaQBvAG4AYQBsACAAYQByAGcAdQBtAGUAbgB0AHMAXABuACAAIAAgACAAIAAgACAAIABtAG8AZABlACwAIABJAEYAKABJAFMATwBNAEkAVABUAEUARAAoAG8AdQB0AHAAdQB0ACkAIAArACAAKABvAHUAdABwAHUAdAAgAD0AIABcACIAXAAiACkALAAgAFwAIgBiAGEAcgBlAFwAIgAsACAATABPAFcARQBSACgAbwB1AHQAcAB1AHQAKQApACwAXABuACAAIAAgACAAIAAgACAAIABkAGkAZwBpAHQAcwAsACAASQBGACgASQBTAE8ATQBJAFQAVABFAEQAKABwAHIAZQBjACkALAAgADQALAAgAHAAcgBlAGMAKQAsAFwAbgAgACAAIAAgACAAIAAgACAAXABuACAAIAAgACAAIAAgACAAIAAvAC8AIABTAG8AcgB0ACAAZgBvAHIAIABzAHQAYQBiAGkAbABpAHQAeQAgAGkAbgAgAHMAeQBuAG8AZABpAGMAIABjAGEAbABjAHUAbABhAHQAaQBvAG4AXABuACAAIAAgACAAIAAgACAAIABBACwAIABNAEEAWAAoAFAALAAgAFEAKQAsAFwAbgAgACAAIAAgACAAIAAgACAAQgAsACAATQBJAE4AKABQACwAIABRACkALABcAG4AIAAgACAAIAAgACAAIAAgAFwAbgAgACAAIAAgACAAIAAgACAALwAvACAAQwBhAGwAYwB1AGwAYQB0AGUAIABzAHkAbgBvAGQAaQBjACAAcABlAHIAaQBvAGQAXABuACAAIAAgACAAIAAgACAAIABTACwAIABSAE8AVQBOAEQAKAAoAEEAIAAqACAAQgApACAALwAgACgAQQAgAC0AIABCACkALAAgAGQAaQBnAGkAdABzACkALABcAG4AIAAgACAAIAAgACAAIAAgAFwAbgAgACAAIAAgACAAIAAgACAALwAvACAAVAB3AG8ALQBjAG8AbAB1AG0AbgAgAHYAZQByAGIAbwBzAGUAIABvAHUAdABwAHUAdAAgACgAbABhAGIAZQBsAHMAIABwAHIAZQBzAGUAcgB2AGUAZAApAFwAbgAgACAAIAAgACAAIAAgACAAdgBlAHIAYgBvAHMAZQAsACAAVgBTAFQAQQBDAEsAKABIAFMAVABBAEMASwAoAFwAIgBQACAAPQBcACIALAAgAFAAKQAsACAASABTAFQAQQBDAEsAKABcACIAUQAgAD0AXAAiACwAIABRACkALAAgAEgAUwBUAEEAQwBLACgAXAAiAFMAIAAeJlwAIgAsACAAUwApACkALABcAG4AIAAgACAAIAAgACAAIAAgAFwAbgAgACAAIAAgACAAIAAgACAALwAvACAATwB1AHQAcAB1AHQAIABzAGUAbABlAGMAdABpAG8AbgBcAG4AIAAgACAAIAAgACAAIAAgAHIAZQBzAHUAbAB0ACwAIABJAEYAKABtAG8AZABlACAAPQAgAFwAIgB2AGUAcgBiAG8AcwBlAFwAIgAsACAAdgBlAHIAYgBvAHMAZQAsACAAUwApACwAXABuACAAIAAgACAAIAAgACAAIAByAGUAcwB1AGwAdABcAG4AIAAgACAAIAApAFwAbgApADsAXABuAFwAbgAvACoAIABBAFMAVABSAE8AXwBTAFkATgBPAEQASQBDAF8AUABTAFwAbgAgACAAIABQAHUAcgBwAG8AcwBlADoAXABuACAAIAAgAEMAYQBsAGMAdQBsAGEAdABlAHMAIAB0AGgAZQAgAHMAaQBkAGUAcgBlAGEAbAAgAG8AcgBiAGkAdABhAGwAIABwAGUAcgBpAG8AZAAgAFEAIABvAGYAIAB0AGgAZQAgAG8AdQB0AGUAcgAgAGIAbwBkAHkAXABuACAAIAAgAGIAYQBzAGUAZAAgAG8AbgAgAHQAaABlACAAcwB5AG4AbwBkAGkAYwAgAHAAZQByAGkAbwBkACAAKABTACkAIABhAG4AZAAgAHQAaABlACAAawBuAG8AdwBuACAAaQBuAG4AZQByACAAbwByAGIAaQB0AGEAbAAgAHAAZQByAGkAbwBkACAAKABQACkALgBcAG4AXABuACAAIAAgAFAAYQByAGEAbQBlAHQAZQByAHMAOgBcAG4AIAAgACAALQAgAFAAIAAoAHIAZQBxAHUAaQByAGUAZAApADoAIABTAGkAZABlAHIAZQBhAGwAIABvAHIAYgBpAHQAYQBsACAAcABlAHIAaQBvAGQAIABvAGYAIAB0AGgAZQAgAGkAbgBuAGUAcgAgACgAZgBhAHMAdABlAHIAKQAgAGIAbwBkAHkAXABuACAAIAAgAC0AIABTACAAKAByAGUAcQB1AGkAcgBlAGQAKQA6ACAAUwB5AG4AbwBkAGkAYwAgAHAAZQByAGkAbwBkACAAKABvAGIAcwBlAHIAdgBlAGQAIABpAG4AdABlAHIAdgBhAGwAIABiAGUAdAB3AGUAZQBuACAAYwBvAG4AagB1AG4AYwB0AGkAbwBuAHMAKQBcAG4AIAAgACAALQAgAG8AdQB0AHAAdQB0ACAAKABvAHAAdABpAG8AbgBhAGwAKQA6ACAATwB1AHQAcAB1AHQAIABmAG8AcgBtAGEAdAAuACAAXABuACAAIAAgACAAIAAgACAALQAgAFwAIgBiAGEAcgBlAFwAIgAgAD0AIABSAGUAdAB1AHIAbgBzACAAUQAgAG8AbgBsAHkAIAAoAGQAZQBmAGEAdQBsAHQAKQBcAG4AIAAgACAAIAAgACAAIAAtACAAXAAiAHYAZQByAGIAbwBzAGUAXAAiACAAPQAgAFIAZQB0AHUAcgBuAHMAIABhACAAMgAtAGMAbwBsAHUAbQBuACAAdgBlAHIAdABpAGMAYQBsACAAdABhAGIAbABlADoAIABQACwAIABRACwAIABTACwAIAB3AGkAdABoACAAUQAgAGYAbABhAGcAZwBlAGQAIAAoAB4mKQBcAG4AIAAgACAALQAgAHAAcgBlAGMAIAAoAG8AcAB0AGkAbwBuAGEAbAApADoAIABEAGUAYwBpAG0AYQBsACAAcAByAGUAYwBpAHMAaQBvAG4AIAAoAGQAZQBmAGEAdQBsAHQAIAA9ACAANAApAFwAbgBcAG4AIAAgACAAUgBlAHQAdQByAG4AcwA6AFwAbgAgACAAIAAtACAAUwBpAGQAZQByAGUAYQBsACAAcABlAHIAaQBvAGQAIABRACAAKABiAGEAcgBlACkALAAgAG8AcgBcAG4AIAAgACAALQAgAFYAZQByAGIAbwBzAGUAIAAyAC0AYwBvAGwAdQBtAG4AIABhAHIAcgBhAHkAIAB3AGkAdABoACAAbABhAGIAZQBsAGUAZAAgAFAALAAgAFEALAAgAGEAbgBkACAAUwAgAHYAYQBsAHUAZQBzAFwAbgAgACAAIAAgACAAKABRACAAaQBzACAAZgBsAGEAZwBnAGUAZAAgAHcAaQB0AGgAIAAeJiAAdABvACAAaQBuAGQAaQBjAGEAdABlACAAaQB0ACcAcwAgAHQAaABlACAAcwBvAGwAdgBlAGQAIAB2AGEAbAB1AGUAKQBcAG4AXABuACAAIAAgAE4AbwB0AGUAcwA6AFwAbgAgACAAIAAtACAAUQAgAD0AIAAoAFAAIADXACAAUwApACAALwAgACgAUAAgABIiIABTACkAXABuACAAIAAgAC0AIABBAHMAcwB1AG0AZQBzACAAUwAgADwAIABQACAAKABzAHkAbgBvAGQAaQBjACAAcABlAHIAaQBvAGQAIABtAHUAcwB0ACAAYgBlACAAcwBoAG8AcgB0AGUAcgAgAHQAaABhAG4AIABzAGwAbwB3AGUAcgAgAGIAbwBkAHkAJwBzACAAbwByAGIAaQB0ACkAXABuACAAIAAgAC0AIABEAGUAcwBpAGcAbgBlAGQAIABmAG8AcgAgAHMAeQBzAHQAZQBtAHMAIAB3AGgAZQByAGUAIABzAHkAbgBvAGQAaQBjACAAaQBuAHQAZQByAHYAYQBsAHMAIABhAHIAZQAgAG0AZQBhAHMAdQByAGUAZAAgAGEAbgBkACAAaQBuAG4AZQByACAAYgBvAGQAeQAgAGkAcwAgAGsAbgBvAHcAbgBcAG4AXABuACAAIAAgAEUAeABhAG0AcABsAGUAOgBcAG4AIAAgACAAQQBTAFQAUgBPAF8AUwBZAE4ATwBEAEkAQwBfAFAAUwAoADMANgA1AC4AMgA1ACwAIAA3ADcAOQAuADgAOAAxADEALAAgAFwAIgB2AGUAcgBiAG8AcwBlAFwAIgAsACAANAApAFwAbgAgACAAIAAgACAAkiFcAG4AIAAgACAAIAAgACAAIABQACAAPQAgACAAIAAgACAAIAAzADYANQAuADIANQBcAG4AIAAgACAAIAAgACAAIABRACAAHiYgAD0AIAAgACAAIAA2ADgANwBcAG4AIAAgACAAIAAgACAAIABTACAAPQAgACAAIAAgACAAIAA3ADcAOQAuADgAOAAxADEAXABuACoALwBcAG4AQQBTAFQAUgBPAF8AUwBZAE4ATwBEAEkAQwBfAFAAUwAgAD0AIABMAEEATQBCAEQAQQAoAFAALAAgAFMALAAgAFsAbwB1AHQAcAB1AHQAXQAsACAAWwBwAHIAZQBjAF0ALABcAG4AIAAgACAAIABMAEUAVAAoAFwAbgAgACAAIAAgACAAIAAgACAALwAvACAATwBwAHQAaQBvAG4AYQBsACAAYQByAGcAdQBtAGUAbgB0ACAAaABhAG4AZABsAGkAbgBn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G0AcAB1AHQAZQAgAFEAIAAoAG8AdQB0AGUAcgAgAG8AcgBiAGkAdAApAFwAbgAgACAAIAAgACAAIAAgACAAUQAsACAAUgBPAFUATgBEACgAKABQACAAKgAgAFMAKQAgAC8AIABBAEIAUwAoAFAAIAAtACAAUwApACwAIABkAGkAZwBpAHQAcwApACwAXABuACAAIAAgACAAIAAgACAAIABcAG4AIAAgACAAIAAgACAAIAAgAC8ALwAgAFYAZQByAGIAbwBzAGUAIABzAHAAaQBsAGwAIABvAHUAdABwAHUAdABcAG4AIAAgACAAIAAgACAAIAAgAHYAZQByAGIAbwBzAGUALAAgAFYAUwBUAEEAQwBLACgASABTAFQAQQBDAEsAKABcACIAUAAgAD0AXAAiACwAIABQACkALAAgAEgAUwBUAEEAQwBLACgAXAAiAFEAIAAeJlwAIgAsACAAUQApACwAIABIAFMAVABBAEMASwAoAFwAIgBTACAAPQBcACIALAAgAFMAKQApACwAXABuACAAIAAgACAAIAAgACAAIABcAG4AIAAgACAAIAAgACAAIAAgAC8ALwAgAE8AdQB0AHAAdQB0ACAAYwBoAG8AaQBjAGUAXABuACAAIAAgACAAIAAgACAAIAByAGUAcwB1AGwAdAAsACAASQBGACgAbQBvAGQAZQAgAD0AIABcACIAdgBlAHIAYgBvAHMAZQBcACIALAAgAHYAZQByAGIAbwBzAGUALAAgAFEAKQAsAFwAbgAgACAAIAAgACAAIAAgACAAcgBlAHMAdQBsAHQAXABuACAAIAAgACAAKQBcAG4AKQA7AFwAbgBcAG4ALwAqACAAQQBTAFQAUgBPAF8AUwBZAE4ATwBEAEkAQwBfAFEAUwBcAG4AIAAgACAAUAB1AHIAcABvAHMAZQA6AFwAbgAgACAAIABDAGEAbABjAHUAbABhAHQAZQBzACAAdABoAGUAIABzAGkAZABlAHIAZQBhAGwAIABvAHIAYgBpAHQAYQBsACAAcABlAHIAaQBvAGQAIABQACAAbwBmACAAdABoAGUAIABpAG4AbgBlAHIAIAAoAGYAYQBzAHQAZQByACkAIABiAG8AZAB5AFwAbgAgACAAIABiAGEAcwBlAGQAIABvAG4AIAB0AGgAZQAgAHMAeQBuAG8AZABpAGMAIABwAGUAcgBpAG8AZAAgACgAUwApACAAYQBuAGQAIAB0AGgAZQAgAGsAbgBvAHcAbgAgAG8AdQB0AGUAcgAgAG8AcgBiAGkAdABhAGwAIABwAGUAcgBpAG8AZAAgACgAUQApAC4AXABuAFwAbgAgACAAIABQAGEAcgBhAG0AZQB0AGUAcgBzADoAXABuACAAIAAgAC0AIABRACAAKAByAGUAcQB1AGkAcgBlAGQAKQA6ACAAUwBpAGQAZQByAGUAYQBsACAAbwByAGIAaQB0AGEAbAAgAHAAZQByAGkAbwBkACAAbwBmACAAdABoAGUAIABvAHUAdABlAHIAIAAoAHMAbABvAHcAZQByACkAIABiAG8AZAB5AFwAbgAgACAAIAAtACAAUwAgACgAcgBlAHEAdQBpAHIAZQBkACkAOgAgAFMAeQBuAG8AZABpAGMAIABwAGUAcgBpAG8AZAAgACgAbwBiAHMAZQByAHYAZQBkACAAaQBuAHQAZQByAHYAYQBsACAAYgBlAHQAdwBlAGUAbgAgAGMAbwBuAGoAdQBuAGMAdABpAG8AbgBzACkAXABuACAAIAAgAC0AIABvAHUAdABwAHUAdAAgACgAbwBwAHQAaQBvAG4AYQBsACkAOgAgAE8AdQB0AHAAdQB0ACAAZgBvAHIAbQBhAHQALgAgAFwAbgAgACAAIAAgACAAIAAgAC0AIABcACIAYgBhAHIAZQBcACIAIAA9ACAAUgBlAHQAdQByAG4AcwAgAFAAIABvAG4AbAB5ACAAKABkAGUAZgBhAHUAbAB0ACkAXABuACAAIAAgACAAIAAgACAALQAgAFwAIgB2AGUAcgBiAG8AcwBlAFwAIgAgAD0AIABSAGUAdAB1AHIAbgBzACAAYQAgADIALQBjAG8AbAB1AG0AbgAgAHYAZQByAHQAaQBjAGEAbAAgAHQAYQBiAGwAZQA6ACAAUAAsACAAUQAsACAAUwAsACAAdwBpAHQAaAAgAFAAIABmAGwAYQBnAGcAZQBkACAAKAAeJikAXABuACAAIAAgAC0AIABwAHIAZQBjACAAKABvAHAAdABpAG8AbgBhAGwAKQA6ACAARABlAGMAaQBtAGEAbAAgAHAAcgBlAGMAaQBzAGkAbwBuACAAKABkAGUAZgBhAHUAbAB0ACAAPQAgADQAKQBcAG4AXABuACAAIAAgAFIAZQB0AHUAcgBuAHMAOgBcAG4AIAAgACAALQAgAFMAaQBkAGUAcgBlAGEAbAAgAHAAZQByAGkAbwBkACAAUAAgACgAYgBhAHIAZQApACwAIABvAHIAXABuACAAIAAgAC0AIABWAGUAcgBiAG8AcwBlACAAMgAtAGMAbwBsAHUAbQBuACAAYQByAHIAYQB5ACAAdwBpAHQAaAAgAGwAYQBiAGUAbABlAGQAIABQACwAIABRACwAIABhAG4AZAAgAFMAIAB2AGEAbAB1AGUAcwBcAG4AIAAgACAAIAAgACgAUAAgAGkAcwAgAGYAbABhAGcAZwBlAGQAIAB3AGkAdABoACAAHiYgAHQAbwAgAGkAbgBkAGkAYwBhAHQAZQAgAGkAdAAnAHMAIAB0AGgAZQAgAHMAbwBsAHYAZQBkACAAdgBhAGwAdQBlACkAXABuAFwAbgAgACAAIABOAG8AdABlAHMAOgBcAG4AIAAgACAALQAgAFAAIAA9ACAAKABRACAA1wAgAFMAKQAgAC8AIAAoAFEAIAArACAAUwApAFwAbgAgACAAIAAtACAAVQBzAGUAZAAgAHcAaABlAG4AIAB0AGgAZQAgAHMAeQBuAG8AZABpAGMAIABwAGUAcgBpAG8AZAAgAGEAbgBkACAAcwBsAG8AdwBlAHIAIABvAHIAYgBpAHQAIABhAHIAZQAgAGsAbgBvAHcAbgAgACgAZQAuAGcALgAsACAAbwBiAHMAZQByAHYAYQB0AGkAbwBuAGEAbAAgAGEAcwB0AHIAbwBuAG8AbQB5ACkAXABuACAAIAAgAC0AIABPAHUAdABwAHUAdAAgAGwAYQB5AG8AdQB0ACAAaQBzACAAYwBvAG4AcwBpAHMAdABlAG4AdAAgAGEAYwByAG8AcwBzACAAYQBsAGwAIABzAHkAbgBvAGQAaQBjACAAcwBvAGwAdgBlAHIAIABmAHUAbgBjAHQAaQBvAG4AcwBcAG4AXABuACAAIAAgAEUAeABhAG0AcABsAGUAOgBcAG4AIAAgACAAQQBTAFQAUgBPAF8AUwBZAE4ATwBEAEkAQwBfAFEAUwAoADYAOAA3ACwAIAA3ADcAOQAuADgAOAAxADEALAAgAFwAIgB2AGUAcgBiAG8AcwBlAFwAIgAsACAANAApAFwAbgAgACAAIAAgACAAkiFcAG4AIAAgACAAIAAgACAAIABQACAAHiYgAD0AIAAgACAAIAAzADYANQAuADIANQBcAG4AIAAgACAAIAAgACAAIABRACAAPQAgACAAIAAgACAAIAA2ADgANwBcAG4AIAAgACAAIAAgACAAIABTACAAPQAgACAAIAAgACAAIAA3ADcAOQAuADgAOAAxADEAXABuACoALwBcAG4AQQBTAFQAUgBPAF8AUwBZAE4ATwBEAEkAQwBfAFEAUwAgAD0AIABMAEEATQBCAEQAQQAoAFEALAAgAFMALAAgAFsAbwB1AHQAcAB1AHQAXQAsACAAWwBwAHIAZQBjAF0ALABcAG4AIAAgACAAIABMAEUAVAAoAFwAbgAgACAAIAAgACAAIAAgACAAbQBvAGQAZQAsACAASQBGACgASQBTAE8ATQBJAFQAVABFAEQAKABvAHUAdABwAHUAdAApACAAKwAgACgAbwB1AHQAcAB1AHQAIAA9ACAAXAAiAFwAIgApACwAIABcACIAYgBhAHIAZQBcACIALAAgAEwATwBXAEUAUgAoAG8AdQB0AHAAdQB0ACkAKQAsAFwAbgAgACAAIAAgACAAIAAgACAAZABpAGcAaQB0AHMALAAgAEkARgAoAEkAUwBPAE0ASQBUAFQARQBEACgAcAByAGUAYwApACwAIAA0ACwAIABwAHIAZQBjACkALABcAG4AIAAgACAAIAAgACAAIAAgAFwAbgAgACAAIAAgACAAIAAgACAALwAvACAAQwBvAHIAcgBlAGMAdAAgAGYAbwByAG0AdQBsAGEAOgAgAFAAIAA9ACAAKABRACAAKgAgAFMAKQAgAC8AIAAoAFEAIAArACAAUwApAFwAbgAgACAAIAAgACAAIAAgACAAUAAsACAAUgBPAFUATgBEACgAKABRACAAKgAgAFMAKQAgAC8AIAAoAFEAIAArACAAUwApACwAIABkAGkAZwBpAHQAcwApACwAXABuACAAIAAgACAAIAAgACAAIAB2AGUAcgBiAG8AcwBlACwAIABWAFMAVABBAEMASwAoAEgAUwBUAEEAQwBLACgAXAAiAFAAIAAeJlwAIgAsACAAUAApACwAIABIAFMAVABBAEMASwAoAFwAIgBRACAAPQBcACIALAAgAFEAKQAsACAASABTAFQAQQBDAEsAKABcACIAUwAgAD0AXAAiACwAIABTACkAKQAsAFwAbgAgACAAIAAgACAAIAAgACAAcgBlAHMAdQBsAHQALAAgAEkARgAoAG0AbwBkAGUAIAA9ACAAXAAiAHYAZQByAGIAbwBzAGUAXAAiACwAIAB2AGUAcgBiAG8AcwBlACwAIABQACkALABcAG4AIAAgACAAIAAgACAAIAAgAHIAZQBzAHUAbAB0AFwAbgAgACAAIAAgACkAXABuACkAOwBcAG4AXABuAC8AKgAgAEEAUwBUAFIATwBfAEEAUABQAEEAUgBFAE4AVABfAFMATwBMAEEAUgBfAFMASQBaAEUAXABuACAAIAAgAFAAdQByAHAAbwBzAGUAOgBcAG4AIAAgACAAQwBhAGwAYwB1AGwAYQB0AGUAcwAgAHQAaABlACAAYQBwAHAAYQByAGUAbgB0ACAAYQBuAGcAdQBsAGEAcgAgAGQAaQBhAG0AZQB0AGUAcgAgAG8AZgAgAGEAIABzAHQAYQByACAAKABvAHIAIABvAHQAaABlAHIAIABvAGIAagBlAGMAdAApACAAYQBzACAAcwBlAGUAbgAgAGYAcgBvAG0AIABhACAAcwBwAGUAYwBpAGYAaQBlAGQAIABkAGkAcwB0AGEAbgBjAGUALABcAG4AIAAgACAAZQB4AHAAcgBlAHMAcwBlAGQAIABhAHMAIABhACAAbQB1AGwAdABpAHAAbABlACAAbwBmACAAdABoAGUAIABTAHUAbgAZIHMAIABhAHAAcABhAHIAZQBuAHQAIABzAGkAegBlACAAZgByAG8AbQAgAEUAYQByAHQAaAAuAFwAbgBcAG4AIAAgACAASQBuAHAAdQB0AHMAOgBcAG4AIAAgACAALQAgAHIAYQBkAGkAdQBzACAAKAByAGUAcQB1AGkAcgBlAGQAKQA6ACAAUgBhAGQAaQB1AHMAIABvAGYAIAB0AGgAZQAgAG8AYgBqAGUAYwB0ACwAIABpAG4AIABzAG8AbABhAHIAIAByAGEAZABpAGkAIAAoAFIACSYpAFwAbgAgACAAIAAtACAAZABpAHMAdABhAG4AYwBlACAAKAByAGUAcQB1AGkAcgBlAGQAKQA6ACAARABpAHMAdABhAG4AYwBlACAAdABvACAAdABoAGUAIABvAGIAagBlAGMAdAAsACAAaQBuACAAYQBzAHQAcgBvAG4AbwBtAGkAYwBhAGwAIAB1AG4AaQB0AHMAIAAoAEEAVQApAFwAbgAgACAAIAAtACAAZgBvAHIAbQBhAHQAIAAoAG8AcAB0AGkAbwBuAGEAbAApADoAIABPAHUAdABwAHUAdAAgAG0AbwBkAGUALgBcAG4AIAAgACAAIAAgACAAIABcACIAcgBhAHcAXAAiACAAIAAgACAAIAAgACAAkiEgAHIAZQB0AHUAcgBuAHMAIABuAHUAbQBlAHIAaQBjACAAcwBjAGEAbABhAHIAIAAoAGUALgBnAC4ALAAgADEALgA1ADQANQApAFwAbgAgACAAIAAgACAAIAAgAFwAIgBmAG8AcgBtAGEAdAB0AGUAZABcACIAIACSISAAcgBlAHQAdQByAG4AcwAgAHMAdAByAGkAbgBnACAAZgBvAHIAbQBhAHQAdABlAGQAIABhAHMAIAAoAGUALgBnAC4ALAAgAFwAIgAxAC4ANQA0ADUACSZcACIAKQBcAG4AIAAgACAAIAAgACAAIABEAGUAZgBhAHUAbAB0ACAAIAAgACAAIACSISAAXAAiAGYAbwByAG0AYQB0AHQAZQBkAFwAIgBcAG4AIAAgACAALQAgAHAAcgBlAGMAIAAoAG8AcAB0AGkAbwBuAGEAbAApADoAIABOAHUAbQBiAGUAcgAgAG8AZgAgAGQAZQBjAGkAbQBhAGwAIABwAGwAYQBjAGUAcwAgAHQAbwAgAHIAbwB1AG4AZAAgAHQAbwAgACgAZABlAGYAYQB1AGwAdAAgAD0AIAA0ACkAXABuAFwAbgAgACAAIABSAGUAdAB1AHIAbgBzADoAXABuACAAIAAgAC0AIABBAHAAcABhAHIAZQBuAHQAIABhAG4AZwB1AGwAYQByACAAcwBpAHoAZQAgAG8AZgAgAHQAaABlACAAbwBiAGoAZQBjAHQAIABhAHMAIABhACAAbQB1AGwAdABpAHAAbABlACAAbwBmACAAdABoAGUAIABTAHUAbgAZIHMALgBcAG4AIAAgACAAIAAgADEALgAwACAAbQBlAGEAbgBzACAAdABoAGUAIABvAGIAagBlAGMAdAAgAGEAcABwAGUAYQByAHMAIABlAHgAYQBjAHQAbAB5ACAAdABoAGUAIABzAGEAbQBlACAAcwBpAHoAZQAgAGEAcwAgAHQAaABlACAAUwB1AG4AIABpAG4AIABFAGEAcgB0AGgAJwBzACAAcwBrAHkALgBcAG4AIAAgACAAIAAgAD4AMQAuADAAIABtAGUAYQBuAHMAIABsAGEAcgBnAGUAcgA7ACAAPAAxAC4AMAAgAG0AZQBhAG4AcwAgAHMAbQBhAGwAbABlAHIALgBcAG4AXABuACAAIAAgAE4AbwB0AGUAcwA6AFwAbgAgACAAIAAtACAAQQBzAHMAdQBtAGUAcwAgAHQAaABhAHQAIABpAG4AcAB1AHQAcwAgAGEAcgBlACAAaQBuACAAcwBvAGwAYQByACAAcgBhAGQAaQBpACAAYQBuAGQAIABBAFUALAAgAHcAaABpAGMAaAAgAGMAYQBuAGMAZQBsACAAbgBhAHQAdQByAGEAbABsAHkAIAB0AG8AIABhACAAdQBuAGkAdABsAGUAcwBzACAAcgBhAHQAaQBvAC4AXABuACAAIAAgAC0AIABVAHMAZQBmAHUAbAAgAGYAbwByACAAdwBvAHIAbABkAGIAdQBpAGwAZABpAG4AZwAsACAAdgBpAHMAdQBhAGwAIABzAHQAbwByAHkAdABlAGwAbABpAG4AZwAsACAAYQBuAGQAIABjAG8AbQBwAGEAcgBhAHQAaQB2AGUAIABhAHMAdAByAG8AbgBvAG0AeQAuAFwAbgAgACAAIAAtACAATQBhAHkAIABiAGUAIABlAHgAcABhAG4AZABlAGQAIABpAG4AIABmAHUAdAB1AHIAZQAgAHQAbwAgAHMAdQBwAHAAbwByAHQAIAB0AHIAdQBlACAAYQBuAGcAdQBsAGEAcgAgAHUAbgBpAHQAcwAgACgAYQByAGMAbQBpAG4ALAAgAGQAZQBnAHIAZQBlAHMALAAgAGUAdABjAC4AKQBcAG4AKgAvAFwAbgBBAFMAVABSAE8AXwBBAFAAUABBAFIARQBOAFQAXwBTAE8ATABBAFIAXwBTAEkAWgBFACAAPQAgAEwAQQBNAEIARABBACgAcgBhAGQAaQB1AHMALAAgAGQAaQBzAHQAYQBuAGMAZQAsACAAWwBmAG8AcgBtAGEAdABdACwAIABbAHAAcgBlAGMAXQAsAFwAbgAgACAAIAAgAEwARQBUACgAXABuACAAIAAgACAAIAAgACAAIAAvAC8AIABTAGUAdAAgAGQAZQBmAGEAdQBsAHQAIABwAHIAZQBjAGkAcwBpAG8AbgAgAGkAZgAgAG8AbQBpAHQAdABlAGQAXABuACAAIAAgACAAIAAgACAAIABwACwAIABJAEYAKABJAFMATwBNAEkAVABUAEUARAAoAHAAcgBlAGMAKQAsACAANAAsACAAcAByAGUAYwApACwAXABuACAAIAAgACAAIAAgACAAIABcAG4AIAAgACAAIAAgACAAIAAgAC8ALwAgAEMAbwByAGUAIABjAGEAbABjAHUAbABhAHQAaQBvAG4AOgAgAHIAYQB0AGkAbwAgAG8AZgAgAHIAYQBkAGkAdQBzACAAdABvACAAZABpAHMAdABhAG4AYwBlAFwAbgAgACAAIAAgACAAIAAgACAAcgBhAHcALAAgAHIAYQBkAGkAdQBzACAALwAgAGQAaQBzAHQAYQBuAGMAZQAsAFwAbgAgACAAIAAgACAAIAAgACAAXABuACAAIAAgACAAIAAgACAAIAAvAC8AIABDAG8AbgBkAGkAdABpAG8AbgBhAGwAIABvAHUAdABwAHUAdAAgAGYAbwByAG0AYQB0AHQAaQBuAGcAXABuACAAIAAgACAAIAAgACAAIAByAGUAcwB1AGwAdAAsACAASQBGACgAXABuACAAIAAgACAAIAAgACAAIAAgACAAIAAgAE8AUgAoAEkAUwBPAE0ASQBUAFQARQBEACgAZgBvAHIAbQBhAHQAKQAsACAAZgBvAHIAbQBhAHQAIAA9ACAAXAAiAGYAbwByAG0AYQB0AHQAZQBkAFwAIgApACwAXABuACAAIAAgACAAIAAgACAAIAAgACAAIAAgAFQARQBYAFQAKAByAGEAdwAsACAAXAAiADAALgBcACIAIAAmACAAUgBFAFAAVAAoAFwAIgAwAFwAIgAsACAAcAApACkAIAAmACAAXAAiAAkmXAAiACwAIAAvAC8AIABlAC4AZwAuACwAIABcACIAMQAuADUANAA1ADAACSZcACIAXABuACAAIAAgACAAIAAgACAAIAAgACAAIAAgAHIAYQB3ACAALwAvACAAcgBlAHQAdQByAG4AIABzAGMAYQBsAGEAcgBcAG4AIAAgACAAIAAgACAAIAAgACkALABcAG4AIAAgACAAIAAgACAAIAAgAHIAZQBzAHUAbAB0AFwAbgAgACAAIAAgACkAXABuACkAOwBcAG4AXABuAC8AKgAgAEEAUwBUAFIATwBfAE8AUgBCAEkAVABfAEMATwBOAEYASQBHAFUAUgBBAFQASQBPAE4AXwBJAE4ARABFAFgAXABuACAAIAAgAFAAdQByAHAAbwBzAGUAOgBcAG4AIAAgACAAQwBvAG0AcAB1AHQAZQBzACAAYQAgAGQAaQBtAGUAbgBzAGkAbwBuAGwAZQBzAHMAIABpAG4AZABlAHgAIAB0AGgAYQB0ACAAYwBoAGEAcgBhAGMAdABlAHIAaQB6AGUAcwAgAHQAaABlACAAYwBvAG4AZgBpAGcAdQByAGEAdABpAG8AbgBcAG4AIAAgACAAbwBmACAAYQAgAHQAdwBvAC0AYgBvAGQAeQAgAG8AcgBiAGkAdABhAGwAIABzAHkAcwB0AGUAbQAgAGIAYQBzAGUAZAAgAG8AbgAgAG0AYQBzAHMAIABhAHMAeQBtAG0AZQB0AHIAeQAuACAAVABoAGkAcwAgAGkAbgBkAGUAeABcAG4AIAAgACAAcAByAGUAZABpAGMAdABzACAAdwBoAGUAdABoAGUAcgAgAG8AcgBiAGkAdABzACAAdwBpAGwAbAAgAGIAZQAgAG4AZQBzAHQAZQBkACwAIAB0AGEAbgBnAGUAbgB0AGkAYQBsACwAIABvAHIAIABjAHIAbwBzAHMAaQBuAGcALgBcAG4AXABuACAAIAAgAEkAbgBwAHUAdABzADoAXABuACAAIAAgAC0AIABtAGEAcwBzADEAOgAgAEYAaQByAHMAdAAgAGIAbwBkAHkAIABtAGEAcwBzACAAKABzAG8AbABhAHIAIABtAGEAcwBzAGUAcwApAFwAbgAgACAAIAAtACAAbQBhAHMAcwAyADoAIABTAGUAYwBvAG4AZAAgAGIAbwBkAHkAIABtAGEAcwBzACAAKABzAG8AbABhAHIAIABtAGEAcwBzAGUAcwApAFwAbgBcAG4AIAAgACAAUgBlAHQAdQByAG4AcwA6AFwAbgAgACAAIAAtACAAQwBvAG4AZgBpAGcAdQByAGEAdABpAG8AbgAgAGkAbgBkAGUAeAAgAKQAcAAgAD0AIAB8AG0AMQAgABIiIABtADIAfAAgAC8AIAAoAG0AMQAgACsAIABtADIAKQAsACAAcgBhAG4AZwBlACAAWwAwACwAIAAxACkAXABuAFwAbgAgACAAIABJAG4AdABlAHIAcAByAGUAdABhAHQAaQBvAG4AOgBcAG4AIAAgACAALQAgADwAIAAwAC4ANAAxADQAMgAgACgAGiIyACAAEiIgADEAKQAgAJIhIABDAHIAbwBzAHMAaQBuAGcAIABvAHIAYgBpAHQAcwBcAG4AIAAgACAALQAgAD0AIAAwAC4ANAAxADQAMgAgACAAIAAgACAAIAAgACAAIAAgAJIhIABUAGEAbgBnAGUAbgB0AGkAYQBsACAAYgBvAHUAbgBkAGEAcgB5ACAAKABzAGkAbAB2AGUAcgAgAHIAYQB0AGkAbwApAFwAbgAgACAAIAAtACAAPgAgADAALgA0ADEANAAyACAAIAAgACAAIAAgACAAIAAgACAAkiEgAE4AZQBzAHQAZQBkACAAbwByAGIAaQB0AHMAXABuAFwAbgAgACAAIABOAG8AdABlAHMAOgBcAG4AIAAgACAALQAgAFQAaABpAHMAIABpAG4AZABlAHgAIABpAHMAIABzAGMAYQBsAGUALQBpAG4AdgBhAHIAaQBhAG4AdAAgAGEAbgBkACAAcwB5AG0AbQBlAHQAcgBpAGMALgBcAG4AIAAgACAALQAgAFUAcwBlAGYAdQBsACAAaQBuACAAdwBvAHIAbABkAGIAdQBpAGwAZABpAG4AZwAsACAAYwBsAGEAcwBzAGkAZgBpAGMAYQB0AGkAbwBuACwAIABhAG4AZAAgAGIAaQBuAGEAcgB5ACAAcwB5AHMAdABlAG0AIABtAG8AZABlAGwAaQBuAGcALgBcAG4AKgAvAFwAbgBBAFMAVABSAE8AXwBPAFIAQgBJAFQAXwBDAE8ATgBGAEkARwBVAFIAQQBUAEkATwBOAF8ASQBOAEQARQBYACAAPQAgAEwAQQBNAEIARABBACgAbQBhAHMAcwAxACwAIABtAGEAcwBzADIALAAgAEEAQgBTACgAbQBhAHMAcwAxACAALQAgAG0AYQBzAHMAMgApACAALwAgACgAbQBhAHMAcwAxACAAKwAgAG0AYQBzAHMAMgApACkAOwBcAG4AXABuAC8AKgAgAEEAUwBUAFIATwBfAFMAUABIAEUAUgBJAEMAQQBMAF8AVABPAF8AQwBBAFIAVABFAFMASQBBAE4AXABuACAAIAAgAFAAdQByAHAAbwBzAGUAOgBcAG4AIAAgACAAQwBvAG4AdgBlAHIAdABzACAAcwBwAGgAZQByAGkAYwBhAGwAIABjAG8AbwByAGQAaQBuAGEAdABlAHMAIAB0AG8AIABDAGEAcgB0AGUAcwBpAGEAbgAgACgAeAAsACAAeQAsACAAegApACwAXABuACAAIAAgAGEAcwBzAHUAbQBpAG4AZwAgAHAAaABpACAAaQBzACAAaQBuAGMAbABpAG4AYQB0AGkAbwBuACAAZgByAG8AbQAgAHQAaABlACAAdgBlAHIAdABpAGMAYQBsACAAYQB4AGkAcwAgAGEAbgBkACAAdABoAGUAdABhACAAaQBzACAAYQB6AGkAbQB1AHQAaAAuAFwAbgBcAG4AIAAgACAASQBuAHAAdQB0AHMAOgBcAG4AIAAgACAALQAgAHAAaABpADoAIAAgACAAIABJAG4AYwBsAGkAbgBhAHQAaQBvAG4AIABhAG4AZwBsAGUAIAAoAGQAZQBnAHIAZQBlAHMAKQAsACAAMAAgAD0AIABuAG8AcgB0AGgAIABwAG8AbABlACwAIAA5ADAAIAA9ACAAZQBxAHUAYQB0AG8AcgAsACAAMQA4ADAAIAA9ACAAcwBvAHUAdABoACAAcABvAGwAZQBcAG4AIAAgACAALQAgAHQAaABlAHQAYQA6ACAAIABBAHoAaQBtAHUAdABoAGEAbAAgAGEAbgBnAGwAZQAgACgAZABlAGcAcgBlAGUAcwApACwAIAAwACAAPQAgAHAAcgBpAG0AZQAgAG0AZQByAGkAZABpAGEAbgAsACAAOQAwACAAPQAgAGUAYQBzAHQAXABuACAAIAAgAC0AIAByADoAIAAgACAAIAAgACAAUgBhAGQAaQBhAGwAIABkAGkAcwB0AGEAbgBjAGUAXABuACAAIAAgAC0AIABwAHIAZQBjACAAKABvAHAAdABpAG8AbgBhAGwAKQA6ACAARABlAGMAaQBtAGEAbAAgAHAAcgBlAGMAaQBzAGkAbwBuACAAKABkAGUAZgBhAHUAbAB0ACAAPQAgADMAKQBcAG4AXABuACAAIAAgAFIAZQB0AHUAcgBuAHMAOgBcAG4AIAAgACAALQAgADEA1wAzACAAYQByAHIAYQB5ADoAIAB7AHgALAAgAHkALAAgAHoAfQAsACAAcgBvAHUAbgBkAGUAZAAgAHQAbwAgAFsAcAByAGUAYwBdACAAZABpAGcAaQB0AHMAXABuAFwAbgAgACAAIABOAG8AdABlAHMAOgBcAG4AIAAgACAALQAgAEMAbwBtAHAAYQB0AGkAYgBsAGUAIAB3AGkAdABoACAAbQBhAHAAcABpAG4AZwAgAGEAbgBkACAAcwBpAG0AdQBsAGEAdABpAG8AbgAgAHMAeQBzAHQAZQBtAHMAIAB1AHMAaQBuAGcAIABzAHAAaABlAHIAaQBjAGEAbAAgAGcAZQBvAG0AZQB0AHIAeQAuAFwAbgAgACAAIAAtACAAQQBzAHMAdQBtAGUAcwAgAHMAdABhAG4AZABhAHIAZAAgAHIAaQBnAGgAdAAtAGgAYQBuAGQAZQBkACAAYwBvAG8AcgBkAGkAbgBhAHQAZQAgAHMAeQBzAHQAZQBtAC4AXABuACoALwBcAG4AQQBTAFQAUgBPAF8AUwBQAEgARQBSAEkAQwBBAEwAXwBUAE8AXwBDAEEAUgBUAEUAUwBJAEEATgAgAD0AIABMAEEATQBCAEQAQQAoAHAAaABpACwAIAB0AGgAZQB0AGEALAAgAHIALAAgAHAAcgBlAGMALABcAG4AIAAgACAAIABMAEUAVAAoAFwAbgAgACAAIAAgACAAIAAgACAALwAvACAASABhAG4AZABsAGUAIABkAGUAZgBhAHUAbAB0ACAAcAByAGUAYwBpAHMAaQBvAG4AXABuACAAIAAgACAAIAAgACAAIABwAHIAZQBjACwAIABJAEYAKABJAFMATwBNAEkAVABUAEUARAAoAHAAcgBlAGMAKQAgACsAIAAoAHAAcgBlAGMAIAA8ACAAMAApACwAIAAzACwAIABwAHIAZQBjACkALABcAG4AIAAgACAAIAAgACAAIAAgAFwAbgAgACAAIAAgACAAIAAgACAALwAvACAAQwBvAG4AdgBlAHIAdAAgAGQAZQBnAHIAZQBlAHMAIAB0AG8AIAByAGEAZABpAGEAbgBzAFwAbgAgACAAIAAgACAAIAAgACAAcABoAGkAXwByAGEAZAAsACAAUgBBAEQASQBBAE4AUwAoAHAAaABpACkALABcAG4AIAAgACAAIAAgACAAIAAgAHQAaABlAHQAYQBfAHIAYQBkACwAIABSAEEARABJAEEATgBTACgAdABoAGUAdABhACkALABcAG4AIAAgACAAIAAgACAAIAAgAFwAbgAgACAAIAAgACAAIAAgACAALwAvACAAVAByAGkAZwAgAGMAYQBsAGMAdQBsAGEAdABpAG8AbgBzAFwAbgAgACAAIAAgACAAIAAgACAAeABfAHIAYQB3ACwAIAByACAAKgAgAFMASQBOACgAcABoAGkAXwByAGEAZAApACAAKgAgAEMATwBTACgAdABoAGUAdABhAF8AcgBhAGQAKQAsAFwAbgAgACAAIAAgACAAIAAgACAAeQBfAHIAYQB3ACwAIAByACAAKgAgAFMASQBOACgAcABoAGkAXwByAGEAZAApACAAKgAgAFMASQBOACgAdABoAGUAdABhAF8AcgBhAGQAKQAsAFwAbgAgACAAIAAgACAAIAAgACAAegBfAHIAYQB3ACwAIAByACAAKgAgAEMATwBTACgAcABoAGkAXwByAGEAZAApACwAXABuACAAIAAgACAAIAAgACAAIABcAG4AIAAgACAAIAAgACAAIAAgAC8ALwAgAFIAbwB1AG4AZAAgAGEAbgBkACAAcgBlAHQAdQByAG4AIABhAHMAIAAxANcAMwAgAGEAcgByAGEAeQBcAG4AIAAgACAAIAAgACAAIAAgAHgALAAgAFIATwBVAE4ARAAoAHgAXwByAGEAdwAsACAAcAByAGUAYwApACwAXABuACAAIAAgACAAIAAgACAAIAB5ACwAIABSAE8AVQBOAEQAKAB5AF8AcgBhAHcALAAgAHAAcgBlAGMAKQAsAFwAbgAgACAAIAAgACAAIAAgACAAegAsACAAUgBPAFUATgBEACgAegBfAHIAYQB3ACwAIABwAHIAZQBjACkALABcAG4AIAAgACAAIAAgACAAIAAgAEgAUwBUAEEAQwBLACgAeAAsACAAeQAsACAAegApAFwAbgAgACAAIAAgACkAXABuACkAOwBcAG4AXABuAC8AKgAgAEEAUwBUAFIATwBfAEMAQQBSAFQARQBTAEkAQQBOAF8AVABPAF8AUwBQAEgARQBSAEkAQwBBAEwAXABuACAAIAAgAFAAdQByAHAAbwBzAGUAOgBcAG4AIAAgACAAQwBvAG4AdgBlAHIAdABzACAAQwBhAHIAdABlAHMAaQBhAG4AIABjAG8AbwByAGQAaQBuAGEAdABlAHMAIAAoAHgALAAgAHkALAAgAHoAKQAgAGkAbgB0AG8AIABzAHAAaABlAHIAaQBjAGEAbAAgAGMAbwBvAHIAZABpAG4AYQB0AGUAcwA6AFwAbgAgACAAIABpAG4AYwBsAGkAbgBhAHQAaQBvAG4AIAAoAHAAaABpACkALAAgAGEAegBpAG0AdQB0AGgAIAAoAHQAaABlAHQAYQApACwAIABhAG4AZAAgAHIAYQBkAGkAdQBzACAAKAByACkALgBcAG4AXABuACAAIAAgAEkAbgBwAHUAdABzADoAXABuACAAIAAgAC0AIAB4ACwAIAB5ACwAIAB6ADoAIABDAGEAcgB0AGUAcwBpAGEAbgAgAGMAbwBvAHIAZABpAG4AYQB0AGUAcwBcAG4AIAAgACAALQAgAHAAcgBlAGMAIAAoAG8AcAB0AGkAbwBuAGEAbAApADoAIABEAGUAYwBpAG0AYQBsACAAcAByAGUAYwBpAHMAaQBvAG4AIAAoAGQAZQBmAGEAdQBsAHQAIAA9ACAAMwApAFwAbgBcAG4AIAAgACAAUgBlAHQAdQByAG4AcwA6AFwAbgAgACAAIAAtACAAMQDXADMAIABhAHIAcgBhAHkAOgAgAHsAcABoAGkALAAgAHQAaABlAHQAYQAsACAAcgB9ACwAIAByAG8AdQBuAGQAZQBkACAAdABvACAAWwBwAHIAZQBjAF0AIABkAGkAZwBpAHQAcwBcAG4AXABuACAAIAAgAE4AbwB0AGUAcwA6AFwAbgAgACAAIAAtACAAcABoAGkAIAA9ACAAaQBuAGMAbABpAG4AYQB0AGkAbwBuACAAZgByAG8AbQAgAHYAZQByAHQAaQBjAGEAbAAgACgAMAAgAD0AIABwAG8AbABlACwAIAA5ADAAIAA9ACAAZQBxAHUAYQB0AG8AcgApAFwAbgAgACAAIAAtACAAdABoAGUAdABhACAAPQAgAGEAegBpAG0AdQB0AGgAYQBsACAAZABpAHIAZQBjAHQAaQBvAG4AIABmAHIAbwBtACAAeAAtAGEAeABpAHMALAAgADAAEyAzADYAMACwAFwAbgAqAC8AXABuAEEAUwBUAFIATwBfAEMAQQBSAFQARQBTAEkAQQBOAF8AVABPAF8AUwBQAEgARQBSAEkAQwBBAEwAIAA9ACAATABBAE0AQgBEAEEAKAB4ACwAIAB5ACwAIAB6ACwAIABwAHIAZQBjACwAXABuACAAIAAgACAATABFAFQAKABcAG4AIAAgACAAIAAgACAAIAAgAC8ALwAgAEgAYQBuAGQAbABlACAAZABlAGYAYQB1AGwAdAAgAHIAbwB1AG4AZABpAG4AZwAgAHAAcgBlAGMAaQBzAGkAbwBuAFwAbgAgACAAIAAgACAAIAAgACAAcAByAGUAYwAsACAASQBGACgASQBTAE8ATQBJAFQAVABFAEQAKABwAHIAZQBjACkAIAArACAAKABwAHIAZQBjACAAPAAgADAAKQAsACAAMwAsACAAcAByAGUAYwApACwAXABuACAAIAAgACAAIAAgACAAIABcAG4AIAAgACAAIAAgACAAIAAgAC8ALwAgAEMAbwBtAHAAdQB0AGUAIAByAGEAZABpAGEAbAAgAGQAaQBzAHQAYQBuAGMAZQAgAGYAcgBvAG0AIABvAHIAaQBnAGkAbgBcAG4AIAAgACAAIAAgACAAIAAgAHIALAAgAFMAUQBSAFQAKAB4ACAAXgAgADIAIAArACAAeQAgAF4AIAAyACAAKwAgAHoAIABeACAAMgApACwAXABuACAAIAAgACAAIAAgACAAIABcAG4AIAAgACAAIAAgACAAIAAgAC8ALwAgAEMAbwBtAHAAdQB0AGUAIABpAG4AYwBsAGkAbgBhAHQAaQBvAG4AIABhAG4AZwBsAGUAIABmAHIAbwBtACAAdgBlAHIAdABpAGMAYQBsACAAYQB4AGkAcwAgACgAegApAFwAbgAgACAAIAAgACAAIAAgACAAcABoAGkALAAgAEQARQBHAFIARQBFAFMAKABBAEMATwBTACgAegAgAC8AIAByACkAKQAsAFwAbgAgACAAIAAgACAAIAAgACAAXABuACAAIAAgACAAIAAgACAAIAAvAC8AIABDAG8AbQBwAHUAdABlACAAYQB6AGkAbQB1AHQAaABhAGwAIABhAG4AZwBsAGUAIABpAG4AIAB4AC0AeQAgAHAAbABhAG4AZQAsACAAbgBvAHIAbQBhAGwAaQB6AGUAZAAgAHQAbwAgAFsAMAAsACAAMwA2ADAAKQBcAG4AIAAgACAAIAAgACAAIAAgAHQAaABlAHQAYQAsACAATQBPAEQAKABEAEUARwBSAEUARQBTACgAQQBUAEEATgAyACgAeQAsACAAeAApACkALAAgADMANgAwACkALABcAG4AIAAgACAAIAAgACAAIAAgAFwAbgAgACAAIAAgACAAIAAgACAALwAvACAAUgBvAHUAbgBkACAAYQBsAGwAIABvAHUAdABwAHUAdABzAFwAbgAgACAAIAAgACAAIAAgACAAcABoAGkAXwBvAHUAdAAsACAAUgBPAFUATgBEACgAcABoAGkALAAgAHAAcgBlAGMAKQAsAFwAbgAgACAAIAAgACAAIAAgACAAdABoAGUAdABhAF8AbwB1AHQALAAgAFIATwBVAE4ARAAoAHQAaABlAHQAYQAsACAAcAByAGUAYwApACwAXABuACAAIAAgACAAIAAgACAAIAByAF8AbwB1AHQALAAgAFIATwBVAE4ARAAoAHIALAAgAHAAcgBlAGMAKQAsAFwAbgAgACAAIAAgACAAIAAgACAAXABuACAAIAAgACAAIAAgACAAIAAvAC8AIABSAGUAdAB1AHIAbgAgAGEAcwAgADEA1wAzACAAYQByAHIAYQB5AFwAbgAgACAAIAAgACAAIAAgACAASABTAFQAQQBDAEsAKABwAGgAaQBfAG8AdQB0ACwAIAB0AGgAZQB0AGEAXwBvAHUAdAAsACAAcgBfAG8AdQB0ACkAXABuACAAIAAgACAAKQBcAG4AKQA7AFwAbgBcAG4ALwAqACAAQQBTAFQAUgBPAF8ATwBSAEIASQBUAF8AQQBYAEkAUwBcAG4AIAAgACAAUAB1AHIAcABvAHMAZQA6AFwAbgAgACAAIABDAG8AbQBwAHUAdABlAHMAIAB0AGgAZQAgAHMAZQBtAGkALQBtAGEAagBvAHIAIABhAHgAaQBzACAAKABpAG4AIABBAFUAKQAgAG8AZgAgAGEAIAB0AHcAbwAtAGIAbwBkAHkAIABzAHkAcwB0AGUAbQBcAG4AIAAgACAAYgBhAHMAZQBkACAAbwBuACAAdABvAHQAYQBsACAAbQBhAHMAcwAgACgAaQBuACAAcwBvAGwAYQByACAAbQBhAHMAcwBlAHMAKQAgAGEAbgBkACAAbwByAGIAaQB0AGEAbAAgAHAAZQByAGkAbwBkACAAKABpAG4AIAB5AGUAYQByAHM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wAGUAcgBpAG8AZAA6ACAATwByAGIAaQB0AGEAbAAgAHAAZQByAGkAbwBkACAAKABpAG4AIAB5AGUAYQByAHMAKQBcAG4AXABuACAAIAAgAFIAZQB0AHUAcgBuAHMAOgBcAG4AIAAgACAALQAgAE8AcgBiAGkAdABhAGwAIABhAHgAaQBzACAAaQBuACAAYQBzAHQAcgBvAG4AbwBtAGkAYwBhAGwAIAB1AG4AaQB0AHMAIAAoAEEAVQApAFwAbgBcAG4AIAAgACAATgBvAHQAZQBzADoAXABuACAAIAAgAC0AIABVAHMAZQBzACAATgBlAHcAdABvAG4AaQBhAG4AIABmAG8AcgBtACAAbwBmACAASwBlAHAAbABlAHIAJwBzACAAVABoAGkAcgBkACAATABhAHcALgBcAG4AIAAgACAALQAgAG0AYQBzAHMAMgAgAGkAcwAgAGMAbwBuAHYAZQByAHQAZQBkACAAZgByAG8AbQAgAHMAbwBsAGEAcgAgAG0AYQBzAHMAZQBzACAAaQBmACAAcAByAGUAcwBlAG4AdAAuAFwAbgAqAC8AXABuAEEAUwBUAFIATwBfAE8AUgBCAEkAVABfAEEAWABJAFMAIAA9ACAATABBAE0AQgBEAEEAKABtAGEAcwBzADEALAAgAG0AYQBzAHMAMgAsACAAcABlAHIAaQBvAGQALABcAG4AIAAgACAAIABMAEUAVAAoAFwAbgAgACAAIAAgACAAIAAgACAAbQBfADIALAAgAEkARgAoACgASQBTAE8ATQBJAFQAVABFAEQAKABtAGEAcwBzADIAKQApACAAKwAgACgAbQBhAHMAcwAyACAAPQAgADEAKQAsACAAMAAsACAAbQBhAHMAcwAyACAAKgAgADAALgAwADAAMAAwADAAMwAwADAAMwApACwAXABuACAAIAAgACAAIAAgACAAIABhAHgAaQBzACwAIABQAE8AVwBFAFIAKAAoAFAATwBXAEUAUgAoAHAAZQByAGkAbwBkACwAIAAyACkAIAAqACAAKABtAGEAcwBzADEAIAArACAAbQBfADIAKQApACwAIAAxACAALwAgADMAKQAsAFwAbgAgACAAIAAgACAAIAAgACAAYQB4AGkAcwBcAG4AIAAgACAAIAApAFwAbgApADsAXABuAFwAbgAvACoAIABBAFMAVABSAE8AXwBPAFIAQgBJAFQAXwBQAEUAUgBJAE8ARABcAG4AIAAgACAAUAB1AHIAcABvAHMAZQA6AFwAbgAgACAAIABDAG8AbQBwAHUAdABlAHMAIAB0AGgAZQAgAG8AcgBiAGkAdABhAGwAIABwAGUAcgBpAG8AZAAgACgAaQBuACAAeQBlAGEAcgBzACkAIABvAGYAIABhACAAdAB3AG8ALQBiAG8AZAB5ACAAcwB5AHMAdABlAG0AXABuACAAIAAgAGIAYQBzAGUAZAAgAG8AbgAgAHQAbwB0AGEAbAAgAG0AYQBzAHMAIAAoAGkAbgAgAHMAbwBsAGEAcgAgAG0AYQBzAHMAZQBzACkAIABhAG4AZAAgAHMAZQBtAGkALQBtAGEAagBvAHIAIABhAHgAaQBzACAAKABpAG4AIABBAFUAKQAuAFwAbgBcAG4AIAAgACAASQBuAHAAdQB0AHMAOgBcAG4AIAAgACAALQAgAG0AYQBzAHMAMQA6ACAAUAByAGkAbQBhAHIAeQAgAG0AYQBzAHMAIAAoAGkAbgAgAHMAbwBsAGEAcgAgAG0AYQBzAHMAZQBzACkAXABuACAAIAAgAC0AIABtAGEAcwBzADIAIAAoAG8AcAB0AGkAbwBuAGEAbAApADoAIABTAGUAYwBvAG4AZABhAHIAeQAgAG0AYQBzAHMAIAAoAGkAbgAgAHMAbwBsAGEAcgAgAG0AYQBzAHMAZQBzADsAIABkAGUAZgBhAHUAbAB0AHMAIAB0AG8AIAAwACAAaQBmACAAbwBtAGkAdAB0AGUAZAAgAG8AcgAgAD0AIAAxACkAXABuACAAIAAgAC0AIABhAHgAaQBzADoAIABPAHIAYgBpAHQAYQBsACAAYQB4AGkAcwAgACgAaQBuACAAQQBVACkAXABuAFwAbgAgACAAIABSAGUAdAB1AHIAbgBzADoAXABuACAAIAAgAC0AIABPAHIAYgBpAHQAYQBsACAAcABlAHIAaQBvAGQAIABpAG4AIAB5AGUAYQByAHMAXABuACoALwBcAG4AQQBTAFQAUgBPAF8ATwBSAEIASQBUAF8AUABFAFIASQBPAEQAIAA9ACAATABBAE0AQgBEAEEAKABtAGEAcwBzADEALAAgAG0AYQBzAHMAMgAsACAAYQB4AGkAcwAsAFwAbgAgACAAIAAgAEwARQBUACgAXABuACAAIAAgACAAIAAgACAAIABtAF8AMgAsACAASQBGACgAKABJAFMATwBNAEkAVABUAEUARAAoAG0AYQBzAHMAMgApACkAIAArACAAKABtAGEAcwBzADIAIAA9ACAAMQApACwAIAAwACwAIABtAGEAcwBzADIAIAAqACAAMAAuADAAMAAwADAAMAAzADAAMAAyADcAMwApACwAXABuACAAIAAgACAAIAAgACAAIABwAGUAcgBpAG8AZAAsACAAUwBRAFIAVAAoAFAATwBXAEUAUgAoAGEAeABpAHMALAAgADMAKQAgAC8AIAAoAG0AYQBzAHMAMQAgACsAIABtAF8AMgApACkALABcAG4AIAAgACAAIAAgACAAIAAgAHAAZQByAGkAbwBkAFwAbgAgACAAIAAgACkAXABuACkAOwBcAG4AXABuAC8AKgAgAEEAUwBUAFIATwBfAE8AUgBCAEkAVABfAFMAVQBNAF8ATQBBAFMAUwBFAFMAXABuACAAIAAgAFAAdQByAHAAbwBzAGUAOgBcAG4AIAAgACAAQwBvAG0AcAB1AHQAZQBzACAAdABoAGUAIABjAG8AbQBiAGkAbgBlAGQAIABtAGEAcwBzACAAKABpAG4AIABzAG8AbABhAHIAIABtAGEAcwBzAGUAcwApACAAbwBmACAAYQAgAHQAdwBvAC0AYgBvAGQAeQAgAHMAeQBzAHQAZQBtAFwAbgAgACAAIABmAHIAbwBtACAAbwByAGIAaQB0AGEAbAAgAGEAeABpAHMAIAAoAGkAbgAgAEEAVQApACAAYQBuAGQAIABwAGUAcgBpAG8AZAAgACgAaQBuACAAeQBlAGEAcgBzACkALgBcAG4AXABuACAAIAAgAEkAbgBwAHUAdABzADoAXABuACAAIAAgAC0AIABhAHgAaQBzADoAIABTAGUAbQBpAC0AbQBhAGoAbwByACAAYQB4AGkAcwAgACgAQQBVACkAXABuACAAIAAgAC0AIABwAGUAcgBpAG8AZAA6ACAATwByAGIAaQB0AGEAbAAgAHAAZQByAGkAbwBkACAAKAB5AGUAYQByAHMAKQBcAG4AXABuACAAIAAgAFIAZQB0AHUAcgBuAHMAOgBcAG4AIAAgACAALQAgAFQAbwB0AGEAbAAgAHMAeQBzAHQAZQBtACAAbQBhAHMAcwAgACgAaQBuACAAcwBvAGwAYQByACAAbQBhAHMAcwBlAHMAKQBcAG4AKgAvAFwAbgBBAFMAVABSAE8AXwBPAFIAQgBJAFQAXwBTAFUATQBfAE0AQQBTAFMARQBTACAAPQAgAEwAQQBNAEIARABBACgAYQB4AGkAcwAsACAAcABlAHIAaQBvAGQALAAgAFAATwBXAEUAUgAoAGEAeABpAHMALAAgADMAKQAgAC8AIABQAE8AVwBFAFIAKABwAGUAcgBpAG8AZAAsACAAMgApACkAOwBcAG4AXABuAC8AKgAgAEEAUwBUAFIATwBfAE8AUgBCAEkAVABfAFMATwBMAFYARQBSAFwAbgAgACAAIABQAHUAcgBwAG8AcwBlADoAXABuACAAIAAgAFUAbgBpAGYAaQBlAGQAIABzAG8AbAB2AGUAcgAgAGYAbwByACAAbwByAGIAaQB0AGEAbAAgAGEAeABpAHMALAAgAHAAZQByAGkAbwBkACwAIABvAHIAIAB0AG8AdABhAGwAIABtAGEAcwBzACAAaQBuACAAYQAgAHQAdwBvAC0AYgBvAGQAeQAgAHMAeQBzAHQAZQBtAC4AXABuACAAIAAgAFMAZQBsAGUAYwB0AHMAIABhAHAAcAByAG8AcAByAGkAYQB0AGUAIABmAG8AcgBtAHUAbABhACAAYgBhAHMAZQBkACAAbwBuACAAbQBvAGQAZQAuAFwAbgBcAG4AIAAgACAASQBuAHAAdQB0AHMAOgBcAG4AIAAgACAALQAgAG0AbwBkAGUAOgAgAE8AbgBlACAAbwBmACAAXAAiAGEAeABpAHMAXAAiACwAIABcACIAcABlAHIAaQBvAGQAXAAiACwAIABvAHIAIABcACIAbQBhAHMAcwBcACIAXABuACAAIAAgAC0AIAB2AGEAbABfADEAOgAgAEYAaQByAHMAdAAgAGsAbgBvAHcAbgAgAHYAYQBsAHUAZQAgACgAZABlAHAAZQBuAGQAcwAgAG8AbgAgAG0AbwBkAGUAKQBcAG4AIAAgACAALQAgAHYAYQBsAF8AMgA6ACAAUwBlAGMAbwBuAGQAIABrAG4AbwB3AG4AIAB2AGEAbAB1AGUAIAAoAGQAZQBwAGUAbgBkAHMAIABvAG4AIABtAG8AZABlACkAXABuACAAIAAgAC0AIABtAGEAcwBzADIAIAAoAG8AcAB0AGkAbwBuAGEAbAApADoAIABTAGUAYwBvAG4AZABhAHIAeQAgAG0AYQBzAHMAIAAoAGkAbgAgAHMAbwBsAGEAcgAgAG0AYQBzAHMAZQBzADsAIABkAGUAZgBhAHUAbAB0AHMAIAB0AG8AIAAwACAAaQBmACAAbwBtAGkAdAB0AGUAZAAgAG8AcgAgAD0AIAAxACkAXABuACAAIAAgAC0AIABwAHIAZQBjAGkAcwBpAG8AbgAgACgAbwBwAHQAaQBvAG4AYQBsACkAOgAgAEQAZQBjAGkAbQBhAGwAIABwAGwAYQBjAGUAcwAgAGYAbwByACAAZgBvAHIAbQBhAHQAdABlAGQAIABvAHUAdABwAHUAdAAgACgAZABlAGYAYQB1AGwAdAAgAD0AIAA0ACkAXABuAFwAbgAgACAAIABSAGUAdAB1AHIAbgBzADoAXABuACAAIAAgAC0AIABSAGUAcwB1AGwAdAAgAGEAcwAgAGEAIABuAHUAbQBiAGUAcgAgAG8AcgAgAGwAYQBiAGUAbABlAGQAIABzAHQAcgBpAG4AZwAsACAAZABlAHAAZQBuAGQAaQBuAGcAIABvAG4AIABtAG8AZABlACAAYQBuAGQAIABmAG8AcgBtAGEAdABcAG4AXABuACAAIAAgAE4AbwB0AGUAcwA6AFwAbgAgACAAIAAtACAAbQBhAHMAcwAyACAAaQBzACAAbwBuAGwAeQAgAHIAZQBsAGUAdgBhAG4AdAAgAGYAbwByACAAXAAiAGEAeABpAHMAXAAiACAAYQBuAGQAIABcACIAcABlAHIAaQBvAGQAXAAiACAAbQBvAGQAZQBzAC4AXABuACoALwBcAG4AQQBTAFQAUgBPAF8ATwBSAEIASQBUAF8AUwBPAEwAVgBFAFIAIAA9ACAATABBAE0AQgBEAEEAKABtAG8AZABlACwAIAB2AGEAbABfADEALAAgAHYAYQBsAF8AMgAsACAAbQBhAHMAcwAyACwAIABwAHIAZQBjAGkAcwBpAG8AbgAsAFwAbgAgACAAIAAgAEwARQBUACgAXABuACAAIAAgACAAIAAgACAAIABtAF8AMgAsACAASQBGACgASQBTAE8ATQBJAFQAVABFAEQAKABtAGEAcwBzADIAKQAgACsAIAAoAG0AYQBzAHMAMgAgAD0AIAAxACkALAAgADAALAAgAG0AYQBzAHMAMgAgACoAIAAwAC4AMAAwADAAMAAwADMAMAAwADMAKQAsAFwAbgAgACAAIAAgACAAIAAgACAAcAByAGUAYwAsACAASQBGACgASQBTAE8ATQBJAFQAVABFAEQAKABwAHIAZQBjAGkAcwBpAG8AbgApACwAIAA0ACwAIABwAHIAZQBjAGkAcwBpAG8AbgApACwAXABuACAAIAAgACAAIAAgACAAIAByAGUAcwB1AGwAdAAsACAAUwBXAEkAVABDAEgAKABcAG4AIAAgACAAIAAgACAAIAAgACAAIAAgACAATABPAFcARQBSACgAbQBvAGQAZQApACwAXABuACAAIAAgACAAIAAgACAAIAAgACAAIAAgAFwAIgBhAHgAaQBzAFwAIgAsACAAUABPAFcARQBSACgAKABQAE8AVwBFAFIAKAB2AGEAbABfADIALAAgADIAKQAgACoAIAAoAHYAYQBsAF8AMQAgACsAIABtAF8AMgApACkALAAgADEAIAAvACAAMwApACwAXABuACAAIAAgACAAIAAgACAAIAAgACAAIAAgAFwAIgBwAGUAcgBpAG8AZABcACIALAAgAFMAUQBSAFQAKABQAE8AVwBFAFIAKAB2AGEAbABfADIALAAgADMAKQAgAC8AIAAoAHYAYQBsAF8AMQAgACsAIABtAF8AMgApACkALABcAG4AIAAgACAAIAAgACAAIAAgACAAIAAgACAAXAAiAG0AYQBzAHMAXAAiACwAIABQAE8AVwBFAFIAKAB2AGEAbABfADEALAAgADMAKQAgAC8AIABQAE8AVwBFAFIAKAB2AGEAbABfADIALAAgADIAKQAsAFwAbgAgACAAIAAgACAAIAAgACAAIAAgACAAIABOAEEAKAApAFwAbgAgACAAIAAgACAAIAAgACAAKQAsAFwAbgAgACAAIAAgACAAIAAgACAAbABhAGIAZQBsACwAIABTAFcASQBUAEMASAAoAFwAbgAgACAAIAAgACAAIAAgACAAIAAgACAAIABMAE8AVwBFAFIAKABtAG8AZABlACkALABcAG4AIAAgACAAIAAgACAAIAAgACAAIAAgACAAXAAiAGEAeABpAHMAXAAiACwAIABcACIAQQB4AGkAcwAgAD0AIABcACIALABcAG4AIAAgACAAIAAgACAAIAAgACAAIAAgACAAXAAiAHAAZQByAGkAbwBkAFwAIgAsACAAXAAiAFAAZQByAGkAbwBkACAAPQAgAFwAIgAsAFwAbgAgACAAIAAgACAAIAAgACAAIAAgACAAIABcACIAbQBhAHMAcwBcACIALAAgAFwAIgBNAGEAcwBzACAAPQAgAFwAIgAsAFwAbgAgACAAIAAgACAAIAAgACAAIAAgACAAIABcACIAPwBcACIAXABuACAAIAAgACAAIAAgACAAIAApACwAXABuACAAIAAgACAAIAAgACAAIABUAEUAWABUACgAcgBlAHMAdQBsAHQALAAgAFwAIgAwAC4AXAAiACAAJgAgAFIARQBQAFQAKABcACIAMABcACIALAAgAHAAcgBlAGMAKQApACAAJgAgAFwAIgAgAFwAIgAgACYAIABsAGEAYgBlAGwAXABuACAAIAAgACAAKQBcAG4AKQA7AFwAbgBcAG4ALwAqACAAQQBTAFQAUgBPAF8ARABFAEcAUgBFAEUAUwBfAFQATwBfAEQATQBTAF8ATgBVAE0AXABuACAAIAAgAFAAdQByAHAAbwBzAGUAOgBcAG4AIAAgACAAQwBvAG4AdgBlAHIAdABzACAAZABlAGMAaQBtAGEAbAAgAGQAZQBnAHIAZQBlAHMAIABpAG4AdABvACAAYQAgAGMAbwBtAHAAYQBjAHQAIABEAC4ATQBNAFMAUwAgAG4AdQBtAGUAcgBpAGMAIAByAGUAcAByAGUAcwBlAG4AdABhAHQAaQBvAG4ALgBcAG4AXABuACAAIAAgAEkAbgBwAHUAdAA6AFwAbgAgACAAIAAtACAARABlAGMAaQBtAGEAbABEAGUAZwByAGUAZQBzADoAIABBAG4AZwBsAGUAIABpAG4AIABkAGUAYwBpAG0AYQBsACAAZABlAGcAcgBlAGUAcwBcAG4AXABuACAAIAAgAFIAZQB0AHUAcgBuAHMAOgBcAG4AIAAgACAALQAgAE4AdQBtAGUAcgBpAGMAIAByAGUAcwB1AGwAdAAgAGkAbgAgAEQALgBNAE0AUwBTACAAZgBvAHIAbQBhAHQAXABuACoALwBcAG4AQQBTAFQAUgBPAF8ARABFAEcAUgBFAEUAUwBfAFQATwBfAEQATQBTAF8ATgBVAE0AIAA9ACAATABBAE0AQgBEAEEAKABEAGUAYwBpAG0AYQBsAEQAZQBnAHIAZQBlAHMALABcAG4AIAAgACAAIABMAEUAVAAoAFwAbgAgACAAIAAgACAAIAAgACAARABlAGcALAAgAFQAUgBVAE4AQwAoAEQAZQBjAGkAbQBhAGwARABlAGcAcgBlAGUAcwApACwAIAAvAC8AIABXAGgAbwBsAGUAIABkAGUAZwByAGUAZQBzAFwAbgAgACAAIAAgACAAIAAgACAARgByAGEAYwBQAG8AcgB0AGkAbwBuACwAIABBAEIAUwAoAEQAZQBjAGkAbQBhAGwARABlAGcAcgBlAGUAcwAgAC0AIABEAGUAZwApACwAIAAvAC8AIABGAHIAYQBjAHQAaQBvAG4AYQBsACAAcABhAHIAdABcAG4AIAAgACAAIAAgACAAIAAgAE0AaQBuAHUAdABlAHMALAAgAEYAcgBhAGMAUABvAHIAdABpAG8AbgAgACoAIAA2ADAALAAgAC8ALwAgAEMAbwBuAHYAZQByAHQAIAB0AG8AIABtAGkAbgB1AHQAZQBzAFwAbgAgACAAIAAgACAAIAAgACAATQBpAG4AXwBwAGEAcgB0ACwAIABUAFIAVQBOAEMAKABNAGkAbgB1AHQAZQBzACkAIAAvACAAMQAwADAALAAgAC8ALwAgAEkAbgB0AGUAZwBlAHIAIABtAGkAbgB1AHQAZQBzACAALwAgADEAMAAwAFwAbgAgACAAIAAgACAAIAAgACAASQBuAHQATQBpAG4ALAAgAEkATgBUACgATQBpAG4AdQB0AGUAcwApACwAXABuACAAIAAgACAAIAAgACAAIABGAHIAYQBjAE0AaQBuACwAIABBAEIAUwAoAE0AaQBuAHUAdABlAHMAIAAtACAASQBuAHQATQBpAG4AKQAsACAALwAvACAAUgBlAG0AYQBpAG4AZABlAHIAIABtAGkAbgB1AHQAZQBzAFwAbgAgACAAIAAgACAAIAAgACAAUwBlAGMAbwBuAGQAcwAsACAARgByAGEAYwBNAGkAbgAgACoAIAA2ADAALAAgAC8ALwAgAEMAbwBuAHYAZQByAHQAIAB0AG8AIABzAGUAYwBvAG4AZABzAFwAbgAgACAAIAAgACAAIAAgACAAcwBlAGMAXwBwAGEAcgB0ACwAIABTAGUAYwBvAG4AZABzACAALwAgADEAMAAwADAAMAAsACAALwAvACAAUwBlAGMAbwBuAGQAcwAgAC8AIAAxADAAMAAwADAAXABuACAAIAAgACAAIAAgACAAIABvAHUAdABwAHUAdAAsACAARABlAGcAIAArACAATQBpAG4AXwBwAGEAcgB0ACAAKwAgAHMAZQBjAF8AcABhAHIAdAAsACAALwAvACAAQQBkAGQAIABhAGwAbAAgAHQAbwBnAGUAdABoAGUAcgBcAG4AIAAgACAAIAAgACAAIAAgAEYASQBYAEUARAAoAG8AdQB0AHAAdQB0ACwAIAA3ACkAIAAvAC8AIABSAGUAdAB1AHIAbgAgAGYAaQB4AGUAZAAgAGQAZQBjAGkAbQBhAGwAIAB0AGUAeAB0AFwAbgAgACAAIAAgACkAXABuACkAOwBcAG4AXABuAC8AKgAgAEEAUwBUAFIATwBfAEQARQBHAFIARQBFAFMAXwBUAE8AXwBEAE0AUwBfAFQARQBYAFQAXABuACAAIAAgAFAAdQByAHAAbwBzAGUAOgBcAG4AIAAgACAAQwBvAG4AdgBlAHIAdABzACAAZABlAGMAaQBtAGEAbAAgAGQAZQBnAHIAZQBlAHMAIABpAG4AdABvACAAYQAgAGYAbwByAG0AYQB0AHQAZQBkACAARACwACAATQAnACAAUwBcACIAIABzAHQAcgBpAG4AZwAuAFwAbgBcAG4AIAAgACAASQBuAHAAdQB0AHMAOgBcAG4AIAAgACAALQAgAEQAZQBjAGkAbQBhAGwARABlAGcAcgBlAGUAcwA6ACAAQQBuAGcAbABlACAAaQBuACAAZABlAGMAaQBtAGEAbAAgAGQAZQBnAHIAZQBlAHMAXABuACAAIAAgAC0AIABwAHIAZQBjAGkAcwBpAG8AbgAgACgAbwBwAHQAaQBvAG4AYQBsACkAOgAgAEQAZQBjAGkAbQBhAGwAIABwAGwAYQBjAGUAcwAgAGYAbwByACAAcwBlAGMAbwBuAGQAcwAgACgAZABlAGYAYQB1AGwAdAAgAD0AIAAzACkAXABuAFwAbgAgACAAIABSAGUAdAB1AHIAbgBzADoAXABuACAAIAAgAC0AIABTAHQAcgBpAG4AZwAgAGkAbgAgAFwAIgBEALAAIABNACcAIABTAC4AUwBTAFwAXABcACIAXAAiACAAZgBvAHIAbQBhAHQAXABuACoALwBcAG4AQQBTAFQAUgBPAF8ARABFAEcAUgBFAEUAUwBfAFQATwBfAEQATQBTAF8AVABFAFgAVAAgAD0AIABMAEEATQBCAEQAQQAoAEQAZQBjAGkAbQBhAGwARABlAGcAcgBlAGUAcwAsACAAcAByAGUAYwBpAHMAaQBvAG4ALABcAG4AIAAgACAAIABMAEUAVAAoAFwAbgAgACAAIAAgACAAIAAgACAAZABlAGMAcAByAGUAYwAsACAASQBGACgASQBTAE8ATQBJAFQAVABFAEQAKABwAHIAZQBjAGkAcwBpAG8AbgApACwAIAAzACwAIABwAHIAZQBjAGkAcwBpAG8AbgApACwAXABuACAAIAAgACAAIAAgACAAIABEAGUAZwAsACAAVABSAFUATgBDACgARABlAGMAaQBtAGEAbABEAGUAZwByAGUAZQBzACkALABcAG4AIAAgACAAIAAgACAAIAAgAEYAcgBhAGMAUABvAHIAdABpAG8AbgAsACAAQQBCAFMAKABEAGUAYwBpAG0AYQBsAEQAZQBnAHIAZQBlAHMAIAAtACAARABlAGcAKQAsAFwAbgAgACAAIAAgACAAIAAgACAATQBpAG4AdQB0AGUAcwAsACAARgByAGEAYwBQAG8AcgB0AGkAbwBuACAAKgAgADYAMAAsAFwAbgAgACAAIAAgACAAIAAgACAASQBuAHQATQBpAG4ALAAgAEkATgBUACgATQBpAG4AdQB0AGUAcwApACwAXABuACAAIAAgACAAIAAgACAAIABGAHIAYQBjAE0AaQBuACwAIABBAEIAUwAoAE0AaQBuAHUAdABlAHMAIAAtACAASQBuAHQATQBpAG4AKQAsAFwAbgAgACAAIAAgACAAIAAgACAAUwBlAGMAbwBuAGQAcwAsACAARgByAGEAYwBNAGkAbgAgACoAIAA2ADAALABcAG4AIAAgACAAIAAgACAAIAAgAEQAZQBnACAAJgAgAFwAIgCwACAAXAAiACAAJgAgAEkAbgB0AE0AaQBuACAAJgAgAEMASABBAFIAKAAzADkAKQAgACYAIABDAEgAQQBSACgAMwAyACkAIAAmACAARgBJAFgARQBEACgAUwBlAGMAbwBuAGQAcwAsACAAZABlAGMAcAByAGUAYwApACAAJgAgAEMASABBAFIAKAAzADQAKQBcAG4AIAAgACAAIAApAFwAbgApADsAXABuAFwAbgAvACoAIABBAFMAVABSAE8AXwBEAE0AUwBfAE4AVQBNAF8AVABPAF8ARABFAEcAUgBFAEUAUwBcAG4AIAAgACAAUAB1AHIAcABvAHMAZQA6AFwAbgAgACAAIABDAG8AbgB2AGUAcgB0AHMAIABhACAARAAuAE0ATQBTAFMALQBzAHQAeQBsAGUAIABuAHUAbQBlAHIAaQBjACAAZgBvAHIAbQBhAHQAIABpAG4AdABvACAAZABlAGMAaQBtAGEAbAAgAGQAZQBnAHIAZQBlAHMALgBcAG4AXABuACAAIAAgAEkAbgBwAHUAdAA6AFwAbgAgACAAIAAtACAAaQBuAHAAdQB0ADoAIABBAG4AZwBsAGUAIABpAG4AIABEAC4ATQBNAFMAUwAgAGYAbwByAG0AYQB0ACAAKABlAC4AZwAuACwAIAAxADIAMwAuADMAMAAxADUAKQBcAG4AXABuACAAIAAgAFIAZQB0AHUAcgBuAHMAOgBcAG4AIAAgACAALQAgAEQAZQBjAGkAbQBhAGwAIABkAGUAZwByAGUAZQBzAFwAbgAqAC8AXABuAEEAUwBUAFIATwBfAEQATQBTAF8ATgBVAE0AXwBUAE8AXwBEAEUARwBSAEUARQBTACAAPQAgAEwAQQBNAEIARABBACgAaQBuAHAAdQB0ACwAXABuACAAIAAgACAATABFAFQAKABcAG4AIAAgACAAIAAgACAAIAAgAGQAZQBnAHIAZQBlAHMALAAgAFQAUgBVAE4AQwAoAGkAbgBwAHUAdAApACwAIAAvAC8AIABXAGgAbwBsAGUAIABkAGUAZwByAGUAZQBzAFwAbgAgACAAIAAgACAAIAAgACAAbQBpAG4AdQB0AGUAcwAsACAAVABSAFUATgBDACgAKABpAG4AcAB1AHQAIAAtACAAZABlAGcAcgBlAGUAcwApACAAKgAgADEAMAAwACkALAAgAC8ALwAgAE0AaQBuAHUAdABlAHMAIABwAG8AcgB0AGkAbwBuAFwAbgAgACAAIAAgACAAIAAgACAAZgByAGEAYwB0AGkAbwBuAGEAbABfAHMAZQBjAG8AbgBkAHMALAAgACgAKABpAG4AcAB1AHQAIAAqACAAMQAwADAAKQAgAC0AIABUAFIAVQBOAEMAKABpAG4AcAB1AHQAIAAqACAAMQAwADAAKQApACAALwAgADAALgA2ACwAIAAvAC8AIABDAG8AbgB2AGUAcgB0ACAAZgByAG8AbQAgAGQAZQBjAGkAbQBhAGwAIABtAGkAbgB1AHQAZQBzACAAdABvACAAcwBlAGMAbwBuAGQAcwBcAG4AIAAgACAAIAAgACAAIAAgAHIAZQBzAHUAbAB0ACwAIABkAGUAZwByAGUAZQBzACAAKwAgACgAKABtAGkAbgB1AHQAZQBzACAAKwAgAGYAcgBhAGMAdABpAG8AbgBhAGwAXwBzAGUAYwBvAG4AZABzACkAIAAvACAANgAwACkALABcAG4AIAAgACAAIAAgACAAIAAgAHIAZQBzAHUAbAB0AFwAbgAgACAAIAAgACkAXABuACkAOwAiAH0ALAB7ACIAcABhAHQAaAAiADoAIgAvAHAAcgBvAGoAZQBjAHQAcwAvAFMAdABhAHQAcwAiACwAIgB0AGUAeAB0ACIAOgAiAC8AKgBcAG4AUwBUAEEAVABfAFEATgBUAEkATABFAFMAXABuAFIAZQB0AHUAcgBuAHMAIABlAHEAdQBhAGwAbAB5ACAAcwBwAGEAYwBlAGQAIABxAHUAYQBuAHQAaQBsAGUAcwAgAGYAcgBvAG0AIABhACAAbgB1AG0AZQByAGkAYwAgAHIAYQBuAGcAZQAsACAAdwBpAHQAaAAgAG8AcAB0AGkAbwBuAGEAbAAgAGwAYQBiAGUAbABzACAAYQBuAGQAIABiAGkAbgAtAHMAdAB5AGwAZQAgAHMAbABpAGMAaQBuAGcALgBcAG4AXABuAEEAcgBnAHUAbQBlAG4AdABzADoAXABuAC0AIAByAGEAbgBnAGUAIAAgACAAIAAgACAAIAAUICAATgB1AG0AZQByAGkAYwAgAGkAbgBwAHUAdAAgAHIAYQBuAGcAZQAgACgAZQAuAGcALgAsACAAQQAxADoAQQAxADAAMAApAFwAbgAtACAAWwBkAGkAdgBpAHMAaQBvAG4AcwBdACAAFCAgACgAbwBwAHQAaQBvAG4AYQBsACkAIABOAHUAbQBiAGUAcgAgAG8AZgAgAHEAdQBhAG4AdABpAGwAZQAgAGkAbgB0AGUAcgB2AGEAbABzACAAKABkAGUAZgBhAHUAbAB0ACAAPQAgADEAMAApAFwAbgAtACAAWwBtAG8AZABlAF0AIAAgACAAIAAgACAAFCAgACgAbwBwAHQAaQBvAG4AYQBsACkAIABVAHMAZQAgAFwAIgBMAEIATABcACIAIAB0AG8AIAByAGUAdAB1AHIAbgAgAGwAYQBiAGUAbABlAGQAIAAyAC0AYwBvAGwAdQBtAG4AIABvAHUAdABwAHUAdAAgACgAZABlAGYAYQB1AGwAdAAgAD0AIAB2AGEAbAB1AGUAcwAgAG8AbgBsAHkAKQBcAG4ALQAgAFsAcwB0AHkAbABlAF0AIAAgACAAIAAgABQgIAAoAG8AcAB0AGkAbwBuAGEAbAApACAAXAAiAEEATABMAFwAIgAgACgAZABlAGYAYQB1AGwAdAApACAAaQBuAGMAbAB1AGQAZQBzACAAMAAlACAAYQBuAGQAIAAxADAAMAAlADsAIABcACIAQgBJAE4AXAAiACAAZQB4AGMAbAB1AGQAZQBzACAAYgBvAHQAaAAgAGIAbwB1AG4AZABhAHIAaQBlAHMAXABuAC0AIABbAHAAcgBlAGMAaQBzAGkAbwBuAF0AIAAUICAAKABvAHAAdABpAG8AbgBhAGwAKQAgAEQAZQBjAGkAbQBhAGwAIAByAG8AdQBuAGQAaQBuAGcAIABwAHIAZQBjAGkAcwBpAG8AbgAgACgAZABlAGYAYQB1AGwAdAAgAD0AIAAzACkAXABuAFwAbgBSAGUAdAB1AHIAbgBzADoAXABuAC0AIABBACAAdgBlAHIAdABpAGMAYQBsACAAbABpAHMAdAAgAG8AZgAgAHEAdQBhAG4AdABpAGwAZQAgAHYAYQBsAHUAZQBzACwAIABvAHIAIABhACAAMgAtAGMAbwBsAHUAbQBuACAAbABhAGIAZQBsAGUAZAAgAGEAcgByAGEAeQAsACAAZABlAHAAZQBuAGQAaQBuAGcAIABvAG4AIABtAG8AZABlAC4AXABuAFwAbgBFAHgAYQBtAHAAbABlAHMAOgBcAG4ALQAgAFMAVABBAFQAXwBRAE4AVABJAEwARQBTACgAQQAxADoAQQAxADAAMAApACAAIAAgACAAIAAgACAAIAAgACAAIAAgACAAIAAgACAAIAAgACAAIAAgAJIhIABEAGUAYwBpAGwAZQBzAFwAbgAtACAAUwBUAEEAVABfAFEATgBUAEkATABFAFMAKABBADEAOgBBADEAMAAwACwAIAA0ACwAIABcACIATABCAEwAXAAiACkAIAAgACAAIAAgACAAIAAgACAAIAAgAJIhIABRAHUAYQByAHQAaQBsAGUAcwAgAHcAaQB0AGgAIABsAGEAYgBlAGwAcwBcAG4ALQAgAFMAVABBAFQAXwBRAE4AVABJAEwARQBTACgAQQAxADoAQQAxADAAMAAsACAAMQAwACwAIAAsACAAXAAiAEIASQBOAFwAIgApACAAIAAgACAAIAAgACAAIACSISAASQBuAHQAZQByAG4AYQBsACAAYgBpAG4AIABiAG8AdQBuAGQAYQByAGkAZQBzACAAKAAxADAALQB0AGkAbABlAHMAKQBcAG4ALQAgAFMAVABBAFQAXwBRAE4AVABJAEwARQBTACgAQQAxADoAQQAxADAAMAAsACAAMgAwACwAIABcACIATABCAEwAXAAiACwAIABcACIAQgBJAE4AXAAiACwAIAAyACkAIACSISAATABhAGIAZQBsAGUAZAAgAGIAaQBuACAAYwB1AHQAcwAgAHcAaQB0AGgAIAAyAC0AZABpAGcAaQB0ACAAcgBvAHUAbgBkAGkAbgBnAFwAbgAqAC8AXABuAFMAVABBAFQAXwBRAE4AVABJAEwARQBTACAAPQAgAEwAQQBNAEIARABBACgAcgBhAG4AZwBlACwAIABbAGQAaQB2AGkAcwBpAG8AbgBzAF0ALAAgAFsAbQBvAGQAZQBdACwAIABbAHMAdAB5AGwAZQBdACwAIABbAHAAcgBlAGMAaQBzAGkAbwBuAF0ALABcAG4AIAAgACAAIABMAEUAVAAoAFwAbgAgACAAIAAgACAAIAAgACAALwAvACAATgBvAHIAbQBhAGwAaQB6AGUAIABvAHAAdABpAG8AbgBhAGwAIABhAHIAZwB1AG0AZQBuAHQAcwBcAG4AIAAgACAAIAAgACAAIAAgAGQAaQB2AGkAcwBpAG8AbgBzACwAIABJAEYAKABJAFMATwBNAEkAVABUAEUARAAoAGQAaQB2AGkAcwBpAG8AbgBzACkALAAgADEAMAAsACAAZABpAHYAaQBzAGkAbwBuAHMAKQAsAFwAbgAgACAAIAAgACAAIAAgACAAbQBvAGQAZQAsACAASQBGACgASQBTAE8ATQBJAFQAVABFAEQAKABtAG8AZABlACkALAAgAFwAIgBcACIALAAgAFUAUABQAEUAUgAoAG0AbwBkAGUAKQApACwAXABuACAAIAAgACAAIAAgACAAIABzAHQAeQBsAGUALAAgAEkARgAoAEkAUwBPAE0ASQBUAFQARQBEACgAcwB0AHkAbABlACkALAAgAFwAIgBBAEwATABcACIALAAgAFUAUABQAEUAUgAoAHMAdAB5AGwAZQApACkALABcAG4AIAAgACAAIAAgACAAIAAgAHAAcgBlAGMAaQBzAGkAbwBuACwAIABJAEYAKABJAFMATwBNAEkAVABUAEUARAAoAHAAcgBlAGMAaQBzAGkAbwBuACkALAAgADMALAAgAHAAcgBlAGMAaQBzAGkAbwBuACkALABcAG4AIAAgACAAIAAgACAAIAAgAFwAbgAgACAAIAAgACAAIAAgACAALwAvACAAVgBhAGwAaQBkAGEAdABpAG8AbgBcAG4AIAAgACAAIAAgACAAIAAgAGMAbwB1AG4AdABWAGEAbABzACwAIABDAE8AVQBOAFQAKAByAGEAbgBnAGUAKQAsAFwAbgAgACAAIAAgACAAIAAgACAAaQBzAFYAYQBsAGkAZAAsACAASQBTAE4AVQBNAEIARQBSACgAZABpAHYAaQBzAGkAbwBuAHMAKQAgACoAIABJAFMATgBVAE0AQgBFAFIAKABwAHIAZQBjAGkAcwBpAG8AbgApACwAXABuACAAIAAgACAAIAAgACAAIABJAEYAKABcAG4AIAAgACAAIAAgACAAIAAgACAAIAAgACAAYwBvAHUAbgB0AFYAYQBsAHMAIAA9ACAAMAAsAFwAbgAgACAAIAAgACAAIAAgACAAIAAgACAAIABTAFEAUgBUACgAXAAiAGEAXAAiACkALABcAG4AIAAgACAAIAAgACAAIAAgACAAIAAgACAASQBGACgAXABuACAAIAAgACAAIAAgACAAIAAgACAAIAAgACAAIAAgACAATwBSACgATgBPAFQAKABpAHMAVgBhAGwAaQBkACkALAAgAGQAaQB2AGkAcwBpAG8AbgBzACAAPAAgADEAKQAsAFwAbgAgACAAIAAgACAAIAAgACAAIAAgACAAIAAgACAAIAAgAFMAUQBSAFQAKAAtADEAKQAsAFwAbgAgACAAIAAgACAAIAAgACAAIAAgACAAIAAgACAAIAAgAEwARQBUACgAXABuACAAIAAgACAAIAAgACAAIAAgACAAIAAgACAAIAAgACAAIAAgACAAIAAvAC8AIABQAGUAcgBjAGUAbgB0AGkAbABlACAAYwB1AHQAIABwAG8AaQBuAHQAcwAgAGIAYQBzAGUAZAAgAG8AbgAgAHMAdAB5AGwAZQBcAG4AIAAgACAAIAAgACAAIAAgACAAIAAgACAAIAAgACAAIAAgACAAIAAgAHAAYwB0AGkAbABlAHMALAAgAFMAVwBJAFQAQwBIACgAXABuACAAIAAgACAAIAAgACAAIAAgACAAIAAgACAAIAAgACAAIAAgACAAIAAgACAAIAAgAHMAdAB5AGwAZQAsAFwAbgAgACAAIAAgACAAIAAgACAAIAAgACAAIAAgACAAIAAgACAAIAAgACAAIAAgACAAIABcACIAQgBJAE4AXAAiACwAIABTAEUAUQBVAEUATgBDAEUAKABkAGkAdgBpAHMAaQBvAG4AcwAgAC0AIAAxACwAIAAxACwAIAAxACkAIAAvACAAZABpAHYAaQBzAGkAbwBuAHMALABcAG4AIAAgACAAIAAgACAAIAAgACAAIAAgACAAIAAgACAAIAAgACAAIAAgACAAIAAgACAAUwBFAFEAVQBFAE4AQwBFACgAZABpAHYAaQBzAGkAbwBuAHMAIAArACAAMQAsACAAMQAsACAAMAApACAALwAgAGQAaQB2AGkAcwBpAG8AbgBzACAALwAvACAARABlAGYAYQB1AGwAdAAgAD0AIABBAEwATABcAG4AIAAgACAAIAAgACAAIAAgACAAIAAgACAAIAAgACAAIAAgACAAIAAgACkALABcAG4AIAAgACAAIAAgACAAIAAgACAAIAAgACAAIAAgACAAIAAgACAAIAAgAFwAbgAgACAAIAAgACAAIAAgACAAIAAgACAAIAAgACAAIAAgACAAIAAgACAALwAvACAATABhAGIAZQBsACAAZgBvAHIAbQBhAHQAdABpAG4AZwBcAG4AIAAgACAAIAAgACAAIAAgACAAIAAgACAAIAAgACAAIAAgACAAIAAgAHAAYwB0AF8AbABhAGIAZQBsAHMALAAgAFQARQBYAFQAKABwAGMAdABpAGwAZQBzACwAIABcACIAMAAlAFwAIgApACwAXABuACAAIAAgACAAIAAgACAAIAAgACAAIAAgACAAIAAgACAAIAAgACAAIABcAG4AIAAgACAAIAAgACAAIAAgACAAIAAgACAAIAAgACAAIAAgACAAIAAgAC8ALwAgAEMAYQBsAGMAdQBsAGEAdABlACAAcQB1AGEAbgB0AGkAbABlACAAdgBhAGwAdQBlAHMAXABuACAAIAAgACAAIAAgACAAIAAgACAAIAAgACAAIAAgACAAIAAgACAAIABwAGMAdABfAHYAYQBsAHMALAAgAFIATwBVAE4ARAAoAFAARQBSAEMARQBOAFQASQBMAEUALgBJAE4AQwAoAHIAYQBuAGcAZQAsACAAcABjAHQAaQBsAGUAcwApACwAIABwAHIAZQBjAGkAcwBpAG8AbgApACwAXABuACAAIAAgACAAIAAgACAAIAAgACAAIAAgACAAIAAgACAAIAAgACAAIABcAG4AIAAgACAAIAAgACAAIAAgACAAIAAgACAAIAAgACAAIAAgACAAIAAgAC8ALwAgAE8AdQB0AHAAdQB0ACAAZgBvAHIAbQBhAHQAdABpAG4AZwBcAG4AIAAgACAAIAAgACAAIAAgACAAIAAgACAAIAAgACAAIAAgACAAIAAgAEkARgAoAG0AbwBkAGUAIAA9ACAAXAAiAEwAQgBMAFwAIgAsACAAQwBIAE8ATwBTAEUAKAB7ADEALAAgADIAfQAsACAAcABjAHQAXwBsAGEAYgBlAGwAcwAsACAAVgBBAEwAVQBFACgAcABjAHQAXwB2AGEAbABzACkAKQAsACAAVABPAEMATwBMACgAcABjAHQAXwB2AGEAbABzACkAKQBcAG4AIAAgACAAIAAgACAAIAAgACAAIAAgACAAIAAgACAAIAApAFwAbgAgACAAIAAgACAAIAAgACAAIAAgACAAIAApAFwAbgAgACAAIAAgACAAIAAgACAAKQBcAG4AIAAgACAAIAApAFwAbgApADsAXABuAFwAbgAvACoAIABTAFQAQQBUAF8AUwBUAEQARQBSAFIAXABuAFwAbgBSAGUAdAB1AHIAbgBzACAAdABoAGUAIABzAHQAYQBuAGQAYQByAGQAIABlAHIAcgBvAHIAIABvAGYAIAB0AGgAZQAgAG0AZQBhAG4AIAAoAFMARQBNACkAIABmAG8AcgAgAGEAIABuAHUAbQBlAHIAaQBjACAAYQByAHIAYQB5AC4AXABuAFwAbgBBAHIAZwB1AG0AZQBuAHQAcwA6AFwAbgAtACAAYQByAHIAYQB5ACAAIAAgACAAIAA9ACAAVABoAGUAIABkAGEAdABhAHMAZQB0ACAAdABvACAAZQB2AGEAbAB1AGEAdABlAFwAbgAtACAAbQBvAGQAZQAgACAAIAAgACAAIAA9ACAATwBwAHQAaQBvAG4AYQBsADsAIABcACIAcABvAHAAXAAiACAAZgBvAHIAIABwAG8AcAB1AGwAYQB0AGkAbwBuACAAKABkAGUAZgBhAHUAbAB0ACkALAAgAFwAIgBzAGEAbQBwAFwAIgAgAGYAbwByACAAcwBhAG0AcABsAGUAXABuAC0AIABsAGEAYgBlAGwAIAAgACAAIAAgAD0AIABPAHAAdABpAG8AbgBhAGwAOwAgAFwAIgBMAEIATABcACIAIAB0AG8AIAByAGUAdAB1AHIAbgAgAGEAIABsAGEAYgBlAGwAZQBkACAAcwB0AHIAaQBuAGcALAAgAG8AdABoAGUAcgB3AGkAcwBlACAAcgBlAHQAdQByAG4AcwAgAG4AdQBtAGUAcgBpAGMAXABuAC0AIABwAHIAZQBjAGkAcwBpAG8AbgAgAD0AIABPAHAAdABpAG8AbgBhAGwAOwAgAG4AdQBtAGIAZQByACAAbwBmACAAZABlAGMAaQBtAGEAbAAgAHAAbABhAGMAZQBzACAAdABvACAAcgBvAHUAbgBkACAAcgBlAHMAdQBsAHQAIAAoAGQAZQBmAGEAdQBsAHQAOgAgADMAKQBcAG4AXABuAE4AbwB0AGUAcwA6AFwAbgAtACAAUwB0AGEAbgBkAGEAcgBkACAAZQByAHIAbwByACAAcgBlAGYAbABlAGMAdABzACAAdABoAGUAIABlAHgAcABlAGMAdABlAGQAIAB2AGEAcgBpAGEAYgBpAGwAaQB0AHkAIABvAGYAIAB0AGgAZQAgAHMAYQBtAHAAbABlACAAbQBlAGEAbgAsACAAYQBzAHMAdQBtAGkAbgBnACAAdABoAGUAIABkAGEAdABhACAAcgBlAHAAcgBlAHMAZQBuAHQAcwAgAGEAIAByAGEAbgBkAG8AbQAgAHMAYQBtAHAAbABlAC4AXABuAC0AIABJAGYAIAB0AGgAZQAgAGQAYQB0AGEAcwBlAHQAIAByAGUAcAByAGUAcwBlAG4AdABzACAAdABoAGUAIABlAG4AdABpAHIAZQAgAHAAbwBwAHUAbABhAHQAaQBvAG4ALAAgAFMARQBNACAAaQBzACAAbQBhAHQAaABlAG0AYQB0AGkAYwBhAGwAbAB5ACAAdgBhAGwAaQBkACAAYgB1AHQAIABuAG8AdAAgAHAAcgBhAGMAdABpAGMAYQBsAGwAeQAgAG4AZQBjAGUAcwBzAGEAcgB5ABQgaQB0ACAAbQBvAGQAZQBsAHMAIABlAHIAcgBvAHIAIAB0AGgAYQB0ACAAZABvAGUAcwBuABkgdAAgAGUAeABpAHMAdAAuAFwAbgBcAG4ARQB4AGEAbQBwAGwAZQA6AFwAbgA9AFMAVABBAFQAXwBTAFQARABFAFIAUgAoAEEAMQA6AEEAMQAwADAALAAgAFwAIgBzAGEAbQBwAFwAIgAsACAAXAAiAEwAQgBMAFwAIgAsACAAMgApAFwAbgCSISAAXAAiAFMAdABhAG4AZABhAHIAZAAgAEUAcgByAG8AcgA6ACAAMQAuADIANwBcACIAXABuACoALwBcAG4AUwBUAEEAVABfAFMAVABEAEUAUgBSACAAPQAgAEwAQQBNAEIARABBACgAYQByAHIAYQB5ACwAIABbAG0AbwBkAGUAXQAsACAAWwBsAGEAYgBlAGwAXQAsACAAWwBwAHIAZQBjAGkAcwBpAG8AbgBdACwAXABuACAAIAAgACAATABFAFQAKABcAG4AIAAgACAAIAAgACAAIAAgAHAAcgBlAGMAaQBzAGkAbwBuACwAIABJAEYAKABJAFMATwBNAEkAVABUAEUARAAoAHAAcgBlAGMAaQBzAGkAbwBuACkALAAgADMALAAgAHAAcgBlAGMAaQBzAGkAbwBuACkALABcAG4AIAAgACAAIAAgACAAIAAgAGwAYQBiAGUAbAAsACAASQBGACgASQBTAE8ATQBJAFQAVABFAEQAKABsAGEAYgBlAGwAKQAsACAAXAAiAFwAIgAsACAAbABhAGIAZQBsACkALABcAG4AIAAgACAAIAAgACAAIAAgAG0AbwBkAGUALAAgAEkARgAoAEkAUwBPAE0ASQBUAFQARQBEACgAbQBvAGQAZQApACwAIABcACIAcABvAHAAXAAiACwAIABMAE8AVwBFAFIAKABtAG8AZABlACkAKQAsAFwAbgAgACAAIAAgACAAIAAgACAAXABuACAAIAAgACAAIAAgACAAIAAvAC8AIABDAG8AbQBwAHUAdABlACAAcwB0AGEAbgBkAGEAcgBkACAAZQByAHIAbwByACAAYgBhAHMAZQBkACAAbwBuACAAbQBvAGQAZQBcAG4AIAAgACAAIAAgACAAIAAgAHMAdABkAGUAcgByACwAIABTAFcASQBUAEMASAAoAFwAbgAgACAAIAAgACAAIAAgACAAIAAgACAAIABtAG8AZABlACwAXABuACAAIAAgACAAIAAgACAAIAAgACAAIAAgAFwAIgBwAG8AcABcACIALAAgAFMAVABEAEUAVgAuAFAAKABhAHIAcgBhAHkAKQAgAC8AIABTAFEAUgBUACgAQwBPAFUATgBUAEEAKABhAHIAcgBhAHkAKQApACwAXABuACAAIAAgACAAIAAgACAAIAAgACAAIAAgAFwAIgBzAGEAbQBwAFwAIgAsACAAUwBUAEQARQBWAC4AUwAoAGEAcgByAGEAeQApACAALwAgAFMAUQBSAFQAKABDAE8AVQBOAFQAQQAoAGEAcgByAGEAeQApACkALABcAG4AIAAgACAAIAAgACAAIAAgACAAIAAgACAAUwBUAEQARQBWAC4AUAAoAGEAcgByAGEAeQApACAALwAgAFMAUQBSAFQAKABDAE8AVQBOAFQAQQAoAGEAcgByAGEAeQApACkAIAAvAC8AIABmAGEAbABsAGIAYQBjAGsAXABuACAAIAAgACAAIAAgACAAIAApACwAXABuACAAIAAgACAAIAAgACAAIAByAGUAcwB1AGwAdAAsACAAUgBPAFUATgBEACgAcwB0AGQAZQByAHIALAAgAHAAcgBlAGMAaQBzAGkAbwBuACkALABcAG4AIAAgACAAIAAgACAAIAAgAEkARgAoAGwAYQBiAGUAbAAgAD0AIABcACIAbABiAGwAXAAiACwAIABcACIAUwB0AGEAbgBkAGEAcgBkACAARQByAHIAbwByADoAIABcACIAIAAmACAAcgBlAHMAdQBsAHQALAAgAHIAZQBzAHUAbAB0ACkAXABuACAAIAAgACAAKQBcAG4AKQA7AFwAbgBcAG4ALwAqACAAUwBUAEEAVABfAE0ASQBOAE0AQQBYAFwAbgBcAG4AUgBlAHQAdQByAG4AcwAgAHQAaABlACAAbQBpAG4AaQBtAHUAbQAgAGEAbgBkACAAbQBhAHgAaQBtAHUAbQAgAG8AZgAgAGEAIABuAHUAbQBlAHIAaQBjACAAYQByAHIAYQB5ACwAIABvAHAAdABpAG8AbgBhAGwAbAB5ACAAbABhAGIAZQBsAGUAZAAgAGEAcwAgAGEAIAB0AHcAbwAtAGMAbwBsAHUAbQBuACAAYQByAHIAYQB5AC4AXABuAFwAbgBBAHIAZwB1AG0AZQBuAHQAcwA6AFwAbgAtACAAYQByAHIAYQB5ACAAIAA9ACAAVABoAGUAIABkAGEAdABhAHMAZQB0ACAAdABvACAAZQB2AGEAbAB1AGEAdABlAFwAbgAtACAAcAByAGUAYwAgACAAIAA9ACAATwBwAHQAaQBvAG4AYQBsADsAIABuAHUAbQBiAGUAcgAgAG8AZgAgAGQAZQBjAGkAbQBhAGwAIABwAGwAYQBjAGUAcwAgAHQAbwAgAHIAbwB1AG4AZAAgAHIAZQBzAHUAbAB0ACAAKABkAGUAZgBhAHUAbAB0ADoAIAAzACkAXABuAC0AIABsAGEAYgBlAGwAIAAgAD0AIABPAHAAdABpAG8AbgBhAGwAOwAgAFwAIgBMAEIATABcACIAIAByAGUAdAB1AHIAbgBzACAAdAB3AG8ALQBjAG8AbAB1AG0AbgAgAG8AdQB0AHAAdQB0ACAAdwBpAHQAaAAgAHQAZQB4AHQAIABhAG4AZAAgAG4AdQBtAGUAcgBpAGMAIAB2AGEAbAB1AGUAcwBcAG4ALQAgAGwAYQB5AG8AdQB0ACAAPQAgAE8AcAB0AGkAbwBuAGEAbAA7ACAAXAAiAEgAXAAiACAAZgBvAHIAIABoAG8AcgBpAHoAbwBuAHQAYQBsACwAIABcACIAVgBcACIAIABmAG8AcgAgAHYAZQByAHQAaQBjAGEAbAAgACgAZABlAGYAYQB1AGwAdAA6ACAAXAAiAFYAXAAiACkAXABuAFwAbgBSAGUAdAB1AHIAbgBzADoAXABuAC0AIABEAGUAZgBhAHUAbAB0ADoAIAB7AG0AaQBuADsAIABtAGEAeAB9ACAAbgB1AG0AZQByAGkAYwAgAGEAcgByAGEAeQBcAG4ALQAgAEkAZgAgAGwAYQBiAGUAbAAgAD0AIABcACIATABCAEwAXAAiADoAIABcAG4AIAAgACAAIABNAGkAbgAgACAAIAAgACAAfAAgAHYAYQBsAHUAZQAgACAAXABuACAAIAAgACAATQBhAHgAIAAgACAAIAAgAHwAIAB2AGEAbAB1AGUAIAAgAFwAbgAtACAATABhAHkAbwB1AHQAIABtAG8AZABlACAAYQBmAGYAZQBjAHQAcwAgAG8AcgBpAGUAbgB0AGEAdABpAG8AbgAgAG8AbgBsAHkAIABpAGYAIABsAGEAYgBlAGwAIABgIiAAXAAiAEwAQgBMAFwAIgBcAG4AXABuACoALwBcAG4AUwBUAEEAVABfAE0ASQBOAE0AQQBYACAAPQAgAEwAQQBNAEIARABBACgAYQByAHIAYQB5ACwAIABbAHAAcgBlAGMAXQAsACAAWwBsAGEAYgBlAGwAXQAsACAAWwBsAGEAeQBvAHUAdABdACwAXABuACAAIAAgACAATABFAFQAKABcAG4AIAAgACAAIAAgACAAIAAgAHAAcgBlAGMALAAgAEkARgAoAEkAUwBPAE0ASQBUAFQARQBEACgAcAByAGUAYwApACwAIAAzACwAIABwAHIAZQBjACkALABcAG4AIAAgACAAIAAgACAAIAAgAGwAYQBiAGUAbAAsACAASQBGACgASQBTAE8ATQBJAFQAVABFAEQAKABsAGEAYgBlAGwAKQAsACAAXAAiAFwAIgAsACAAVQBQAFAARQBSACgAbABhAGIAZQBsACkAKQAsAFwAbgAgACAAIAAgACAAIAAgACAAbABhAHkAbwB1AHQALAAgAEkARgAoAEkAUwBPAE0ASQBUAFQARQBEACgAbABhAHkAbwB1AHQAKQAsACAAXAAiAFYAXAAiACwAIABVAFAAUABFAFIAKABsAGEAeQBvAHUAdAApACkALABcAG4AIAAgACAAIAAgACAAIAAgAG0AaQBuAF8AdgBhAGwALAAgAFIATwBVAE4ARAAoAE0ASQBOACgAYQByAHIAYQB5ACkALAAgAHAAcgBlAGMAKQAsAFwAbgAgACAAIAAgACAAIAAgACAAbQBhAHgAXwB2AGEAbAAsACAAUgBPAFUATgBEACgATQBBAFgAKABhAHIAcgBhAHkAKQAsACAAcAByAGUAYwApACwAXABuACAAIAAgACAAIAAgACAAIAByAGUAcwB1AGwAdABfAGwAYgBsACwAIABWAFMAVABBAEMASwAoAEgAUwBUAEEAQwBLACgAXAAiAE0AaQBuAFwAIgAsACAAbQBpAG4AXwB2AGEAbAApACwAIABIAFMAVABBAEMASwAoAFwAIgBNAGEAeABcACIALAAgAG0AYQB4AF8AdgBhAGwAKQApACwAXABuACAAIAAgACAAIAAgACAAIAByAGUAcwB1AGwAdABfAHIAYQB3ACwAIABJAEYAKABsAGEAeQBvAHUAdAAgAD0AIABcACIASABcACIALAAgAEgAUwBUAEEAQwBLACgAbQBpAG4AXwB2AGEAbAAsACAAbQBhAHgAXwB2AGEAbAApACwAIABWAFMAVABBAEMASwAoAG0AaQBuAF8AdgBhAGwALAAgAG0AYQB4AF8AdgBhAGwAKQApACwAXABuACAAIAAgACAAIAAgACAAIABJAEYAKABsAGEAYgBlAGwAIAA9ACAAXAAiAEwAQgBMAFwAIgAsACAAcgBlAHMAdQBsAHQAXwBsAGIAbAAsACAAcgBlAHMAdQBsAHQAXwByAGEAdwApAFwAbgAgACAAIAAgACkAXABuACkAOwBcAG4AXABuAC8AKgAgAFMAVABBAFQAXwBTAFUATQBNAEEAUgBZAFwAbgBcAG4AUAByAG8AdgBpAGQAZQBzACAAYQAgAGMAbwBuAGMAaQBzAGUAIABzAHQAYQB0AGkAcwB0AGkAYwBhAGwAIABzAHUAbQBtAGEAcgB5ACAAZgBvAHIAIABhACAAbgB1AG0AZQByAGkAYwAgAGEAcgByAGEAeQAuAFwAbgBcAG4AQQByAGcAdQBtAGUAbgB0AHMAOgBcAG4ALQAgAHIAYQBuAGcAZQAgACAAPQAgAFQAaABlACAAZABhAHQAYQBzAGUAdAAgAHQAbwAgAGUAdgBhAGwAdQBhAHQAZQBcAG4ALQAgAG0AbwBkAGUAIAAgACAAPQAgAE8AcAB0AGkAbwBuAGEAbAA7ACAAXAAiAFMATQBSAFkAXAAiACAAbwByACAAXAAiAFMAUABBAE4AXAAiACAAKABkAGUAZgBhAHUAbAB0ADoAIABTAFAAQQBOACkAXABuACAAIAAgACAAIAAgACAAIAAgACAAIABTAE0AUgBZADoAIABNAGkAbgAsACAATQBlAGEAbgAsACAATQBlAGQAaQBhAG4ALAAgAE0AYQB4ACwAIABTAHQAZABlAHYAXABuACAAIAAgACAAIAAgACAAIAAgACAAIABTAFAAQQBOADoAIABNAGkAbgAsACAAvAMSIsMDLAAgAE0AZQBhAG4ALAAgALwDKwDDAywAIABNAGEAeAAsACAAUwB0AGQAZQB2AFwAbgAtACAAbABhAGIAZQBsACAAIAA9ACAATwBwAHQAaQBvAG4AYQBsADsAIABcACIATABCAEwAXAAiACAAcgBlAHQAdQByAG4AcwAgAGEAIAB0AHcAbwAtAGMAbwBsAHUAbQBuACAAbABhAGIAZQBsAGUAZAAgAGEAcgByAGEAeQBcAG4ALQAgAHAAcgBlAGMAIAAgACAAPQAgAE8AcAB0AGkAbwBuAGEAbAA7ACAAbgB1AG0AYgBlAHIAIABvAGYAIABkAGUAYwBpAG0AYQBsACAAcABsAGEAYwBlAHMAIAAoAGQAZQBmAGEAdQBsAHQAOgAgADMAKQBcAG4AXABuAFIAZQB0AHUAcgBuAHMAOgBcAG4ALQAgAEEAIAB2AGUAcgB0AGkAYwBhAGwAIABuAHUAbQBlAHIAaQBjACAAYQByAHIAYQB5ACAAbwByACAAbABhAGIAZQBsAGUAZAAgAG0AYQB0AHIAaQB4ACAAZABlAHAAZQBuAGQAaQBuAGcAIABvAG4AIABtAG8AZABlACAAYQBuAGQAIABsAGEAYgBlAGwAIABmAGwAYQBnAFwAbgBcAG4ATQBvAGQAZQAgAEQAZQBzAGMAcgBpAHAAdABpAG8AbgBzADoAXABuAC0AIABcACIAUwBNAFIAWQBcACIAOgAgAEIAYQBsAGEAbgBjAGUAZAAgAHMAbgBhAHAAcwBoAG8AdAAgAG8AZgAgAGMAZQBuAHQAZQByACAAYQBuAGQAIABzAHAAcgBlAGEAZABcAG4ALQAgAFwAIgBTAFAAQQBOAFwAIgA6ACAARQBtAHAAaABhAHMAaQB6AGUAcwAgAGQAaQBzAHQAcgBpAGIAdQB0AGkAbwBuACAAcwBoAGEAcABlACAAYQByAG8AdQBuAGQAIAB0AGgAZQAgAG0AZQBhAG4AIAAoALwDIACxACAAwwMpACwAXABuACAAIAAgACAAIAAgACAAIAAgACAAdwBpAHQAaAAgAGMAbABlAGEAcgAgAGwAYQBiAGUAbABpAG4AZwAgAG8AZgAgAE0AZQBhAG4AIAAoALwDKQAgAGEAbgBkACAAUwB0AGQAZQB2ACAAKADDAykAIABvAG4AbAB5AFwAbgBcAG4AKgAvAFwAbgBTAFQAQQBUAF8AUwBVAE0ATQBBAFIAWQAgAD0AIABMAEEATQBCAEQAQQAoAHIAYQBuAGcAZQAsACAAWwBtAG8AZABlAF0ALAAgAFsAbABhAGIAZQBsAF0ALAAgAFsAcAByAGUAYwBdACwAXABuACAAIAAgACAATABFAFQAKABcAG4AIAAgACAAIAAgACAAIAAgAHIAYQB3AF8AbQBvAGQAZQAsACAASQBGACgASQBTAE8ATQBJAFQAVABFAEQAKABtAG8AZABlACkALAAgAFwAIgBTAFAAQQBOAFwAIgAsACAAVQBQAFAARQBSACgAbQBvAGQAZQApACkALABcAG4AIAAgACAAIAAgACAAIAAgAG0AbwBkAGUALAAgAEkARgAoAE8AUgAoAHIAYQB3AF8AbQBvAGQAZQAgAD0AIABcACIAUwBNAFIAWQBcACIALAAgAHIAYQB3AF8AbQBvAGQAZQAgAD0AIABcACIAUwBQAEEATgBcACIAKQAsACAAcgBhAHcAXwBtAG8AZABlACwAIAAxACAALwAgADAAKQAs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C8AywAIABBAFYARQBSAEEARwBFACgAcgBhAG4AZwBlACkALABcAG4AIAAgACAAIAAgACAAIAAgAMMDLAAgAFMAVABEAEUAVgAuAFAAKAByAGEAbgBnAGUAKQAsAFwAbgAgACAAIAAgACAAIAAgACAAbQBpAG4AXwB2AGEAbAAsACAATQBJAE4AKAByAGEAbgBnAGUAKQAsAFwAbgAgACAAIAAgACAAIAAgACAAbQBhAHgAXwB2AGEAbAAsACAATQBBAFgAKAByAGEAbgBnAGUAKQAsAFwAbgAgACAAIAAgACAAIAAgACAAbQBlAGQAXwB2AGEAbAAsACAATQBFAEQASQBBAE4AKAByAGEAbgBnAGUAKQAsAFwAbgAgACAAIAAgACAAIAAgACAAvANfAG0AaQBuAHUAcwBfAMMDLAAgALwDIAAtACAAwwMsAFwAbgAgACAAIAAgACAAIAAgACAAvANfAHAAbAB1AHMAXwDDAywAIAC8AyAAKwAgAMMDLABcAG4AIAAgACAAIAAgACAAIAAgAFwAbgAgACAAIAAgACAAIAAgACAALwAvACAAUwB1AG0AbQBhAHIAeQAgAG0AbwBkAGUAOgAgAE0AaQBuACwAIABNAGUAYQBuACwAIABNAGUAZABpAGEAbgAsACAATQBhAHgALAAgAFMAdABkAGUAdgBcAG4AIAAgACAAIAAgACAAIAAgAHMAbQByAHkAXwB2AGEAbABzACwAIABWAFMAVABBAEMASwAoAG0AaQBuAF8AdgBhAGwALAAgALwDLAAgAG0AZQBkAF8AdgBhAGwALAAgAG0AYQB4AF8AdgBhAGwALAAgAMMDKQAsAFwAbgAgACAAIAAgACAAIAAgACAAcwBtAHIAeQBfAGwAYQBiAGUAbABzACwAIABWAFMAVABBAEMASwAoAFwAIgBNAGkAbgBcACIALAAgAFwAIgBNAGUAYQBuACAAKAC8AykAXAAiACwAIABcACIATQBlAGQAaQBhAG4AXAAiACwAIABcACIATQBhAHgAXAAiACwAIABcACIAUwB0AGQAZQB2ACAAKADDAykAXAAiACkALABcAG4AIAAgACAAIAAgACAAIAAgAFwAbgAgACAAIAAgACAAIAAgACAALwAvACAAUwBwAGEAbgAgAG0AbwBkAGUAOgAgAE0AaQBuACwAIAC8AxIiwwMsACAATQBlAGEAbgAsACAAvAMrAMMDLAAgAE0AYQB4ACwAIADDA1wAbgAgACAAIAAgACAAIAAgACAAcwBwAGEAbgBfAHYAYQBsAHMALAAgAFYAUwBUAEEAQwBLACgAbQBpAG4AXwB2AGEAbAAsACAAvANfAG0AaQBuAHUAcwBfAMMDLAAgALwDLAAgALwDXwBwAGwAdQBzAF8AwwMsACAAbQBhAHgAXwB2AGEAbAAsACAAwwMpACwAXABuACAAIAAgACAAIAAgACAAIABzAHAAYQBuAF8AbABhAGIAZQBsAHMALAAgAFYAUwBUAEEAQwBLACgAXAAiAE0AaQBuAFwAIgAsACAAXAAiALwDIAASIiAAwwNcACIALAAgAFwAIgBNAGUAYQBuACAAKAC8AykAXAAiACwAIABcACIAvAMgACsAIADDA1wAIgAsACAAXAAiAE0AYQB4AFwAIgAsACAAXAAiAFMAdABkAGUAdgAgACgAwwMpAFwAIgApACwAXABuACAAIAAgACAAIAAgACAAIABzAGUAbABlAGMAdABlAGQAXwB2AGEAbABzACwAIABJAEYAKABtAG8AZABlACAAPQAgAFwAIgBTAFAAQQBOAFwAIgAsACAAcwBwAGEAbgBfAHYAYQBsAHMALAAgAHMAbQByAHkAXwB2AGEAbABzACkALABcAG4AIAAgACAAIAAgACAAIAAgAHMAZQBsAGUAYwB0AGUAZABfAGwAYQBiAGUAbABzACwAIABJAEYAKABtAG8AZABlACAAPQAgAFwAIgBTAFAAQQBOAFwAIgAsACAAcwBwAGEAbgBfAGwAYQBiAGUAbABzACwAIABzAG0AcgB5AF8AbABhAGIAZQBsAHMAKQAsAFwAbgAgACAAIAAgACAAIAAgACAAcgBvAHUAbgBkAGUAZABfAHYAYQBsAHMALAAgAFIATwBVAE4ARAAoAHMAZQBsAGUAYwB0AGUAZABfAHYAYQBsAHMALAAgAHAAcgBlAGMAKQAsAFwAbgAgACAAIAAgACAAIAAgACAAcgBlAHMAdQBsAHQALAAgAEkARgAoAGwAYQBiAGUAbAAgAD0AIABcACIATABCAEwAXAAiACwAIABIAFMAVABBAEMASwAoAHMAZQBsAGUAYwB0AGUAZABfAGwAYQBiAGUAbABzACwAIAByAG8AdQBuAGQAZQBkAF8AdgBhAGwAcwApACwAIAByAG8AdQBuAGQAZQBkAF8AdgBhAGwAcwApACwAXABuACAAIAAgACAAIAAgACAAIAByAGUAcwB1AGwAdABcAG4AIAAgACAAIAApAFwAbgApADsAXABuAFwAbgAvACoAIABTAFQAQQBUAF8ARwBFAE8ANQBcAG4AXABuAFIAZQB0AHUAcgBuAHMAIABhACAAZwBlAG8AbQBlAHQAcgBpAGMAIABmAGkAdgBlAC0AcABvAGkAbgB0ACAAcwB1AG0AbQBhAHIAeQAgAG8AZgAgAGEAIABuAHUAbQBlAHIAaQBjACAAcgBhAG4AZwBlAC4AXABuAFwAbgBUAGgAaQBzACAAaQBzACAATgBPAFQAIABhACAAcABlAHIAYwBlAG4AdABpAGwAZQAtAGIAYQBzAGUAZAAgAHMAdQBtAG0AYQByAHkAIAAoAGwAaQBrAGUAIABxAHUAYQByAHQAaQBsAGUAcwApACwAXABuAGIAdQB0ACAAYQAgAHMAeQBtAG0AZQB0AHIAaQBjACAAcABvAHMAaQB0AGkAbwBuAGEAbAAgAHMAYwBhAGYAZgBvAGwAZAAgAGEAYwByAG8AcwBzACAAdABoAGUAIABNAGkAbgATIE0AYQB4ACAAcwBwAGEAbgAuAFwAbgBcAG4AQQByAGcAdQBtAGUAbgB0AHMAOgBcAG4ALQAgAHIAYQBuAGcAZQAgACAAIAA6ACAAUgBlAHEAdQBpAHIAZQBkACAAYQByAHIAYQB5ACAAbwBmACAAbgB1AG0AZQByAGkAYwAgAHYAYQBsAHUAZQBzAFwAbgAtACAAbABhAGIAZQBsACAAIAAgADoAIABPAHAAdABpAG8AbgBhAGwAOwAgAHUAcwBlACAAXAAiAEwAQgBMAFwAIgAgAGYAbwByACAAbABhAGIAZQBsAGUAZAAgADIALQBjAG8AbAB1AG0AbgAgAG8AdQB0AHAAdQB0ACAAKABkAGUAZgBhAHUAbAB0ADoAIAB1AG4AbABhAGIAZQBsAGUAZAApAFwAbgAtACAAcAByAGUAYwAgACAAIAAgADoAIABPAHAAdABpAG8AbgBhAGwAOwAgAG4AdQBtAGIAZQByACAAbwBmACAAZABlAGMAaQBtAGEAbAAgAHAAbABhAGMAZQBzACAAKABkAGUAZgBhAHUAbAB0ADoAIAAzACkAXABuAFwAbgBSAGUAdAB1AHIAbgBzADoAXABuAC0AIABBACAAdgBlAHIAdABpAGMAYQBsACAAbgB1AG0AZQByAGkAYwAgAGEAcgByAGEAeQAgAG8AcgAgAGwAYQBiAGUAbABlAGQAIABtAGEAdAByAGkAeAAgAGkAbgBjAGwAdQBkAGkAbgBnADoAXABuACAAIAB7AE0AaQBuACwAIABMAG8AdwBlAHIAIABNAGkAZAAsACAATQBpAGQAcgBhAG4AZwBlACwAIABVAHAAcABlAHIAIABNAGkAZAAsACAATQBhAHgAfQBcAG4AXABuAEYAbwByAG0AdQBsAGEAcwA6AFwAbgAtACAATQBpAG4AIAAgACAAIAAgACAAIAAgACAAPQAgAE0ASQBOACgAcgBhAG4AZwBlACkAXABuAC0AIABNAGkAZAByAGEAbgBnAGUAIAAgACAAIAA9ACAAKABNAEkATgAgACsAIABNAEEAWAApACAALwAgADIAXABuAC0AIABMAG8AdwBlAHIAIABNAGkAZAAgACAAIAA9ACAAKABNAEkATgAgACsAIABNAGkAZAByAGEAbgBnAGUAKQAgAC8AIAAyAFwAbgAtACAAVQBwAHAAZQByACAATQBpAGQAIAAgACAAPQAgACgATQBpAGQAcgBhAG4AZwBlACAAKwAgAE0AQQBYACkAIAAvACAAMgBcAG4ALQAgAE0AYQB4ACAAIAAgACAAIAAgACAAIAAgAD0AIABNAEEAWAAoAHIAYQBuAGcAZQApAFwAbgBcAG4ATgBvAHQAZQA6AFwAbgAtACAAVABoAGkAcwAgAGYAdQBuAGMAdABpAG8AbgAgAGkAcwAgACoAKgBkAGkAcwB0AHIAaQBiAHUAdABpAG8AbgAtAGEAZwBuAG8AcwB0AGkAYwAqACoALgAgAEkAdAAgAHIAZQBwAG8AcgB0AHMAIABuAHUAbQBlAHIAaQBjACAAcABvAHMAaQB0AGkAbwBuACAAbwBuAGwAeQAsACAAXABuACAAIAB3AGkAdABoAG8AdQB0ACAAcgBlAGcAYQByAGQAIAB0AG8AIAB0AGgAZQAgAGYAcgBlAHEAdQBlAG4AYwB5ACAAbwByACAAYwBsAHUAcwB0AGUAcgBpAG4AZwAgAG8AZgAgAHYAYQBsAHUAZQBzAC4AIABUAGgAYQB0ACAAbQBlAGEAbgBzACAAZABhAHQAYQBzAGUAdABzACAAXABuACAAIAB3AGkAdABoACAAaABpAGcAaABsAHkAIABzAGsAZQB3AGUAZAAgAG8AcgAgAHIAZQBwAGUAdABpAHQAaQB2AGUAIAB2AGEAbAB1AGUAcwAgAG0AYQB5ACAAcwB0AGkAbABsACAAeQBpAGUAbABkACAAZQB2AGUAbgBsAHkAIABzAHAAYQBjAGUAZAAgAHIAZQBzAHUAbAB0AHMAIABcAG4AIAAgAGkAZgAgAE0AaQBuACAAYQBuAGQAIABNAGEAeAAgAHIAZQBtAGEAaQBuACAAdABoAGUAIABzAGEAbQBlAC4AIABJAHQAIABpAHMAIABiAGUAcwB0ACAAdQBuAGQAZQByAHMAdABvAG8AZAAgAGEAcwAgAGEAIAAqAHMAeQBtAG0AZQB0AHIAeQAgAHMAYwBhAGYAZgBvAGwAZAAqACwAIABcAG4AIAAgAG4AbwB0ACAAYQAgAGQAaQBzAHQAcgBpAGIAdQB0AGkAbwBuAGEAbAAgAGEAbgBhAGwAeQBzAGkAcwAuAFwAbgBcAG4AKgAvAFwAbgBTAFQAQQBUAF8ARwBFAE8ANQAgAD0AIABMAEEATQBCAEQAQQAoAHIAYQBuAGcAZQAsACAAWwBsAGEAYgBlAGwAXQAsACAAWwBwAHIAZQBjAF0ALABcAG4AIAAgACAAIABMAEUAVAAoAFwAbgAgACAAIAAgACAAIAAgACAAbABhAGIAZQBsACwAIABJAEYAKABJAFMATwBNAEkAVABUAEUARAAoAGwAYQBiAGUAbAApACwAIABcACIAXAAiACwAIABVAFAAUABFAFIAKABsAGEAYgBlAGwAKQApACwAXABuACAAIAAgACAAIAAgACAAIABwAHIAZQBjACwAIABJAEYAKABJAFMATwBNAEkAVABUAEUARAAoAHAAcgBlAGMAKQAsACAAMwAsACAAcAByAGUAYwApACwAXABuACAAIAAgACAAIAAgACAAIABtAGkAbgBfAHYAYQBsACwAIABNAEkATgAoAHIAYQBuAGcAZQApACwAXABuACAAIAAgACAAIAAgACAAIABtAGEAeABfAHYAYQBsACwAIABNAEEAWAAoAHIAYQBuAGcAZQApACwAXABuACAAIAAgACAAIAAgACAAIABtAGkAZAByAGEAbgBnAGUALAAgACgAbQBpAG4AXwB2AGEAbAAgACsAIABtAGEAeABfAHYAYQBsACkAIAAvACAAMgAsAFwAbgAgACAAIAAgACAAIAAgACAAbABvAHcAZQByAF8AbQBpAGQALAAgACgAbQBpAG4AXwB2AGEAbAAgACsAIABtAGkAZAByAGEAbgBnAGUAKQAgAC8AIAAyACwAXABuACAAIAAgACAAIAAgACAAIAB1AHAAcABlAHIAXwBtAGkAZAAsACAAKABtAGkAZAByAGEAbgBnAGUAIAArACAAbQBhAHgAXwB2AGEAbAApACAALwAgADIALABcAG4AIAAgACAAIAAgACAAIAAgAHIAYQB3AF8AdgBhAGwAcwAsACAAVgBTAFQAQQBDAEsAKABtAGkAbgBfAHYAYQBsACwAIABsAG8AdwBlAHIAXwBtAGkAZAAsACAAbQBpAGQAcgBhAG4AZwBlACwAIAB1AHAAcABlAHIAXwBtAGkAZAAsACAAbQBhAHgAXwB2AGEAbAApACwAXABuACAAIAAgACAAIAAgACAAIAByAG8AdQBuAGQAZQBkAF8AdgBhAGwAcwAsACAAUgBPAFUATgBEACgAcgBhAHcAXwB2AGEAbABzACwAIABwAHIAZQBjACkALABcAG4AIAAgACAAIAAgACAAIAAgAGwAYQBiAGUAbABzACwAIABWAFMAVABBAEMASwAoAFwAIgBNAGkAbgBcACIALAAgAFwAIgBMAG8AdwBlAHIAIABNAGkAZABcACIALAAgAFwAIgBNAGkAZAByAGEAbgBnAGUAXAAiACwAIABcACIAVQBwAHAAZQByACAATQBpAGQAXAAiACwAIABcACIATQBhAHgAXAAiACkALABcAG4AIAAgACAAIAAgACAAIAAgAG8AdQB0AHAAdQB0ACwAIABJAEYAKABsAGEAYgBlAGwAIAA9ACAAXAAiAEwAQgBMAFwAIgAsACAASABTAFQAQQBDAEsAKABsAGEAYgBlAGwAcwAsACAAcgBvAHUAbgBkAGUAZABfAHYAYQBsAHMAKQAsACAAcgBvAHUAbgBkAGUAZABfAHYAYQBsAHMAKQAsAFwAbgAgACAAIAAgACAAIAAgACAAbwB1AHQAcAB1AHQAXABuACAAIAAgACAAKQBcAG4AKQA7AFwAbgBcAG4ALwAqACAAUwBUAEEAVABfAFYATwBMAFUATQBFAFwAbgBcAG4AUgBlAHQAdQByAG4AcwAgAGIAYQBzAGkAYwAgAHYAbwBsAHUAbQBlAHQAcgBpAGMAIABzAHQAYQB0AHMAIABmAG8AcgAgAGEAIABuAHUAbQBlAHIAaQBjACAAcgBhAG4AZwBlAC4AXABuAFwAbgBBAHIAZwB1AG0AZQBuAHQAcwA6AFwAbgAtACAAcgBhAG4AZwBlACAAIAAgADoAIABSAGUAcQB1AGkAcgBlAGQAIABuAHUAbQBlAHIAaQBjACAAYQByAHIAYQB5AFwAbgAtACAAbABhAGIAZQBsACAAIAAgADoAIABPAHAAdABpAG8AbgBhAGwAOwAgAHUAcwBlACAAXAAiAEwAQgBMAFwAIgAgAGYAbwByACAAbABhAGIAZQBsAGUAZAAgADIALQBjAG8AbAB1AG0AbgAgAG8AdQB0AHAAdQB0AFwAbgAtACAAcAByAGUAYwAgACAAIAAgADoAIABPAHAAdABpAG8AbgBhAGwAOwAgAG4AdQBtAGIAZQByACAAbwBmACAAZABlAGMAaQBtAGEAbAAgAHAAbABhAGMAZQBzACAAKABkAGUAZgBhAHUAbAB0ADoAIAAzACkAXABuAFwAbgBSAGUAdAB1AHIAbgBzADoAXABuAC0AIABDAG8AdQBuAHQAXABuAC0AIABTAHUAbQBcAG4ALQAgAE0AZQBhAG4AIAAoALwDKQBcAG4AXABuACoALwBcAG4AUwBUAEEAVABfAFYATwBMAFUATQ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cwB1AG0AXwB2AGEAbAAsACAAUwBVAE0AKAByAGEAbgBnAGUAKQAsAFwAbgAgACAAIAAgACAAIAAgACAAbQBlAGEAbgBfAHYAYQBsACwAIABJAEYAKABjAG8AdQBuAHQAXwB2AGEAbAAgAD4AIAAwACwAIABBAFYARQBSAEEARwBFACgAcgBhAG4AZwBlACkALAAgAE4AQQAoACkAKQAsAFwAbgAgACAAIAAgACAAIAAgACAAcgBhAHcAXwB2AGEAbABzACwAIABWAFMAVABBAEMASwAoAGMAbwB1AG4AdABfAHYAYQBsACwAIABzAHUAbQBfAHYAYQBsACwAIABtAGUAYQBuAF8AdgBhAGwAKQAsAFwAbgAgACAAIAAgACAAIAAgACAAcgBvAHUAbgBkAGUAZABfAHYAYQBsAHMALAAgAFIATwBVAE4ARAAoAHIAYQB3AF8AdgBhAGwAcwAsACAAcAByAGUAYwApACwAXABuACAAIAAgACAAIAAgACAAIABsAGEAYgBlAGwAcwAsACAAVgBTAFQAQQBDAEsAKABcACIAQwBvAHUAbgB0AFwAIgAsACAAXAAiAFMAdQBtAFwAIgAsACAAXAAiAE0AZQBhAG4AIAAoALwDKQBcACIAKQAsAFwAbgAgACAAIAAgACAAIAAgACAAbwB1AHQAcAB1AHQALAAgAEkARgAoAGwAYQBiAGUAbAAgAD0AIABcACIATABCAEwAXAAiACwAIABIAFMAVABBAEMASwAoAGwAYQBiAGUAbABzACwAIAByAG8AdQBuAGQAZQBkAF8AdgBhAGwAcwApACwAIAByAG8AdQBuAGQAZQBkAF8AdgBhAGwAcwApACwAXABuACAAIAAgACAAIAAgACAAIABvAHUAdABwAHUAdABcAG4AIAAgACAAIAApAFwAbgApADsAXABuAFwAbgAvACoAIABTAFQAQQBUAF8AUwBIAEEAUABFAFwAbgBcAG4AUgBlAHQAdQByAG4AcwAgAGMAZQBuAHQAcgBhAGwAIAB0AGUAbgBkAGUAbgBjAHkAIABhAG4AZAAgAHMAaABhAHAAZQAgAGQAZQBzAGMAcgBpAHAAdABvAHIAcwAgAGYAbwByACAAYQAgAG4AdQBtAGUAcgBpAGMAIABhAHIAcgBhAHkALgBcAG4AXABuAEEAcgBnAHUAbQBlAG4AdABzADoAXABuAC0AIAByAGEAbgBnAGUAIAAgACAAOgAgAFIAZQBxAHUAaQByAGUAZAAgAG4AdQBtAGUAcgBpAGMAIABhAHIAcgBhAHkAXABuAC0AIABsAGEAYgBlAGwAIAAgACAAOgAgAE8AcAB0AGkAbwBuAGEAbAA7ACAAdQBzAGUAIABcACIATABCAEwAXAAiACAAZgBvAHIAIABsAGEAYgBlAGwAZQBkACAAMgAtAGMAbwBsAHUAbQBuACAAbwB1AHQAcAB1AHQAXABuAC0AIABwAHIAZQBjACAAIAAgACAAOgAgAE8AcAB0AGkAbwBuAGEAbAA7ACAAbgB1AG0AYgBlAHIAIABvAGYAIABkAGUAYwBpAG0AYQBsACAAcABsAGEAYwBlAHMAIAAoAGQAZQBmAGEAdQBsAHQAOgAgADMAKQBcAG4AXABuAFIAZQB0AHUAcgBuAHMAOgBcAG4ALQAgAE0AZQBhAG4AIAAoALwDKQBcAG4ALQAgAE0AZQBkAGkAYQBuAFwAbgAtACAAUwBrAGUAdwAuAFAAXABuAC0AIABLAHUAcgB0AC4AUABcAG4AXABuAE4AbwB0AGUAOgBcAG4ALQAgAFIAZQB0AHUAcgBuAHMAIAAjAE4ALwBBACAAZgBvAHIAIABTAGsAZQB3ACAAbwByACAASwB1AHIAdABvAHMAaQBzACAAaQBmACAAZgBlAHcAZQByACAAdABoAGEAbgAgADMAIAB2AGEAbAB1AGUAcwAgAGEAcgBlACAAcAByAGUAcwBlAG4AdAAuAFwAbgBcAG4AKgAvAFwAbgBTAFQAQQBUAF8AUwBIAEEAUABFACAAPQAgAEwAQQBNAEIARABBACgAcgBhAG4AZwBlACwAIABbAGwAYQBiAGUAbABdACwAIABbAHAAcgBlAGMAXQAsAFwAbgAgACAAIAAgAEwARQBUACgAXABuACAAIAAgACAAIAAgACAAIABsAGEAYgBlAGwALAAgAEkARgAoAEkAUwBPAE0ASQBUAFQARQBEACgAbABhAGIAZQBsACkALAAgAFwAIgBcACIALAAgAFUAUABQAEUAUgAoAGwAYQBiAGUAbAApACkALABcAG4AIAAgACAAIAAgACAAIAAgAHAAcgBlAGMALAAgAEkARgAoAEkAUwBPAE0ASQBUAFQARQBEACgAcAByAGUAYwApACwAIAAzACwAIABwAHIAZQBjACkALABcAG4AIAAgACAAIAAgACAAIAAgAGMAbwB1AG4AdABfAHYAYQBsACwAIABDAE8AVQBOAFQAKAByAGEAbgBnAGUAKQAsAFwAbgAgACAAIAAgACAAIAAgACAAvAMsACAASQBGACgAYwBvAHUAbgB0AF8AdgBhAGwAIAA+ACAAMAAsACAAQQBWAEUAUgBBAEcARQAoAHIAYQBuAGcAZQApACwAIABOAEEAKAApACkALABcAG4AIAAgACAAIAAgACAAIAAgAG0AZQBkACwAIABJAEYAKABjAG8AdQBuAHQAXwB2AGEAbAAgAD4AIAAwACwAIABNAEUARABJAEEATgAoAHIAYQBuAGcAZQApACwAIABOAEEAKAApACkALABcAG4AIAAgACAAIAAgACAAIAAgAHMAawBlAHcALAAgAEkARgAoAGMAbwB1AG4AdABfAHYAYQBsACAAPgAgADIALAAgAFMASwBFAFcALgBQACgAcgBhAG4AZwBlACkALAAgAE4AQQAoACkAKQAsAFwAbgAgACAAIAAgACAAIAAgACAAawB1AHIAdAAsACAASQBGACgAYwBvAHUAbgB0AF8AdgBhAGwAIAA+ACAAMwAsACAASwBVAFIAVAAoAHIAYQBuAGcAZQApACwAIABOAEEAKAApACkALABcAG4AIAAgACAAIAAgACAAIAAgAHIAYQB3AF8AdgBhAGwAcwAsACAAVgBTAFQAQQBDAEsAKAC8AywAIABtAGUAZAAsACAAcwBrAGUAdwAsACAAawB1AHIAdAApACwAXABuACAAIAAgACAAIAAgACAAIAByAG8AdQBuAGQAZQBkAF8AdgBhAGwAcwAsACAAUgBPAFUATgBEACgAcgBhAHcAXwB2AGEAbABzACwAIABwAHIAZQBjACkALABcAG4AIAAgACAAIAAgACAAIAAgAGwAYQBiAGUAbABzACwAIABWAFMAVABBAEMASwAoAFwAIgBNAGUAYQBuACAAKAC8AykAXAAiACwAIABcACIATQBlAGQAaQBhAG4AXAAiACwAIABcACIAUwBrAGUAdwAgACgAUAApAFwAIgAsACAAXAAiAEsAdQByAHQAbwBzAGkAcwAgACgAUAApAFwAIgApACwAXABuACAAIAAgACAAIAAgACAAIABvAHUAdABwAHUAdAAsACAASQBGACgAbABhAGIAZQBsACAAPQAgAFwAIgBMAEIATABcACIALAAgAEgAUwBUAEEAQwBLACgAbABhAGIAZQBsAHMALAAgAHIAbwB1AG4AZABlAGQAXwB2AGEAbABzACkALAAgAHIAbwB1AG4AZABlAGQAXwB2AGEAbABzACkALABcAG4AIAAgACAAIAAgACAAIAAgAG8AdQB0AHAAdQB0AFwAbgAgACAAIAAgACkAXABuACkAOwBcAG4AXABuAC8AKgAgAFMAVABBAFQAXwBNAEkARABSAEEATgBHAEUAXABuAFwAbgBSAGUAdAB1AHIAbgBzACAAdABoAGUAIABtAGkAZAByAGEAbgBnAGUAIABvAGYAIABhACAAbgB1AG0AZQByAGkAYwAgAGEAcgByAGEAeQA6ACAAdABoAGUAIABhAHYAZQByAGEAZwBlACAAbwBmACAAaQB0AHMAIABNAGkAbgAgAGEAbgBkACAATQBhAHgALgBcAG4AXABuAEEAcgBnAHUAbQBlAG4AdABzADoAXABuAC0AIABhAHIAcgBhAHkAIAA6ACAAcgBlAHEAdQBpAHIAZQBkACAAbgB1AG0AZQByAGkAYwAgAHIAYQBuAGcAZQBcAG4ALQAgAHAAcgBlAGMAIAAgADoAIABvAHAAdABpAG8AbgBhAGwAIABuAHUAbQBiAGUAcgAgAG8AZgAgAGQAZQBjAGkAbQBhAGwAIABwAGwAYQBjAGUAcwAgACgAZABlAGYAYQB1AGwAdAAgAD0AIAAzACkAXABuAFwAbgBSAGUAdAB1AHIAbgBzADoAXABuAC0AIABBACAAcwBpAG4AZwBsAGUAIABuAHUAbQBlAHIAaQBjACAAdgBhAGwAdQBlADoAIAAoAE0ASQBOACAAKwAgAE0AQQBYACkAIAAvACAAMgBcAG4AXABuACoALwBcAG4AUwBUAEEAVABfAE0ASQBEAFIAQQBOAEcARQAgAD0AIABMAEEATQBCAEQAQQAoAGEAcgByAGEAeQAsACAAWwBwAHIAZQBjAF0ALABcAG4AIAAgACAAIABMAEUAVAAoAFwAbgAgACAAIAAgACAAIAAgACAAcAByAGUAYwAsACAASQBGACgASQBTAE8ATQBJAFQAVABFAEQAKABwAHIAZQBjACkALAAgADMALAAgAHAAcgBlAGMAKQAsAFwAbgAgACAAIAAgACAAIAAgACAAYwBvAHUAbgB0AF8AdgBhAGwALAAgAEMATwBVAE4AVAAoAGEAcgByAGEAeQApACwAXABuACAAIAAgACAAIAAgACAAIABtAGkAZAByAGEAbgBnAGUALAAgAEkARgAoAGMAbwB1AG4AdABfAHYAYQBsACAAPQAgADAALAAgAE4AQQAoACkALAAgAGEAYgBzACgAKABNAEkATgAoAGEAcgByAGEAeQApACAALQAgAE0AQQBYACgAYQByAHIAYQB5ACkAKQApAC8AMgApACwAXABuACAAIAAgACAAIAAgACAAIABSAE8AVQBOAEQAKABtAGkAZAByAGEAbgBnAGUALAAgAHAAcgBlAGMAKQBcAG4AIAAgACAAIAApAFwAbgApADsAXABuAFwAbgAvACoAIABTAFQAQQBUAF8ARgBSAEUAUQBfAFQAQQBCAEwARQBcAG4AXABuAEcAZQBuAGUAcgBhAHQAZQBzACAAYQAgAGYAcgBlAHEAdQBlAG4AYwB5ACAAdABhAGIAbABlACAAZgByAG8AbQAgAGEAIABuAHUAbQBlAHIAaQBjACAAcgBhAG4AZwBlAC4AXABuAFwAbgBBAHIAZwB1AG0AZQBuAHQAcwA6AFwAbgAtACAAcgBhAG4AZwBlACAAOgAgAHIAZQBxAHUAaQByAGUAZAAgAG4AdQBtAGUAcgBpAGMAIABpAG4AcAB1AHQAXABuAC0AIABtAG8AZABlACAAIAA6ACAAbwBwAHQAaQBvAG4AYQBsACAAawBlAHkAdwBvAHIAZAAgACgAXAAiAEwAQgBMAFwAIgAgAHQAbwAgAGkAbgBjAGwAdQBkAGUAIABjAG8AbAB1AG0AbgAgAGgAZQBhAGQAZQByAHMAOwAgAGQAZQBmAGEAdQBsAHQAIAA9ACAAbgBvACAAaABlAGEAZABlAHIAcwApAFwAbgBcAG4AUgBlAHQAdQByAG4AcwA6AFwAbgAtACAAQQAgADMALQBjAG8AbAB1AG0AbgAgAHMAcABpAGwAbABlAGQAIABhAHIAcgBhAHkAOgBcAG4AIAAgACAAIAAiICAAQwBvAGwAdQBtAG4AIAAxADoAIABVAG4AaQBxAHUAZQAgAHYAYQBsAHUAZQBzAFwAbgAgACAAIAAgACIgIABDAG8AbAB1AG0AbgAgADIAOgAgAEYAcgBlAHEAdQBlAG4AYwB5ACAAKABjAG8AdQBuAHQAKQBcAG4AIAAgACAAIAAiICAAQwBvAGwAdQBtAG4AIAAzADoAIABXAGUAaQBnAGgAdABlAGQAIABwAHIAbwBkAHUAYwB0ACAAKAB2AGEAbAB1AGUAIADXACAAYwBvAHUAbgB0ACkAXABuAFwAbgBOAG8AdABlAHMAOgBcAG4ALQAgAFMAbwByAHQAZQBkACAAaQBuACAAYQBzAGMAZQBuAGQAaQBuAGcAIABvAHIAZABlAHIAXABuAC0AIABJAG4AYwBsAHUAZABlAHMAIABoAGUAYQBkAGUAcgBzACAAaQBmACAAbQBvAGQAZQAgAD0AIABcACIATABCAEwAXAAiAFwAbgAtACAAVQBzAGUAZgB1AGwAIABmAG8AcgAgAG0AbwBkAGUAIABhAG4AYQBsAHkAcwBpAHMALAAgAHcAZQBpAGcAaAB0AGUAZAAgAG0AZQBhAG4AcwAsACAAYQBuAGQAIABkAGkAcwB0AHIAaQBiAHUAdABpAG8AbgAgAG8AdgBlAHIAdgBpAGUAdwBcAG4AXABuACoALwBcAG4AUwBUAEEAVABfAEYAUgBFAFEAXwBUAEEAQgBMAEUAIAA9ACAATABBAE0AQgBEAEEAKAByAGEAbgBnAGUALAAgAFsAbQBvAGQAZQBdACwAXABuACAAIAAgACAATABFAFQAKABcAG4AIAAgACAAIAAgACAAIAAgAC8ALwAgAEgAYQBuAGQAbABlACAAbABhAGIAZQBsACAAbQBvAGQAZQBcAG4AIAAgACAAIAAgACAAIAAgAG0AbwBkAGUALAAgAEkARgAoAEkAUwBPAE0ASQBUAFQARQBEACgAbQBvAGQAZQApACwAIABcACIAXAAiACwAIABVAFAAUABFAFIAKABtAG8AZABlACkAKQAsAFwAbgAgACAAIAAgACAAIAAgACAAXABuACAAIAAgACAAIAAgACAAIAAvAC8AIABQAHIAZQBwAGEAcgBlACAAdQBuAGkAcQB1AGUAIAB2AGEAbAB1AGUAcwAgAGkAbgAgAHMAbwByAHQAZQBkACAAbwByAGQAZQByAFwAbgAgACAAIAAgACAAIAAgACAAdQBfAHYAYQBsAHMALAAgAFMATwBSAFQAKABVAE4ASQBRAFUARQAoAHIAYQBuAGcAZQApACkALABcAG4AIAAgACAAIAAgACAAIAAgAFwAbgAgACAAIAAgACAAIAAgACAALwAvACAARgByAGUAcQB1AGUAbgBjAHkAIABjAG8AdQBuAHQAcwAgAHAAZQByACAAdQBuAGkAcQB1AGUAIAB2AGEAbAB1AGUAXABuACAAIAAgACAAIAAgACAAIAB3AGUAaQBnAGgAdABzACwAIABCAFkAUgBPAFcAKAB1AF8AdgBhAGwAcwAsACAATABBAE0AQgBEAEEAKABhACwAIABDAE8AVQBOAFQASQBGACgAcgBhAG4AZwBlACwAIABhACkAKQApACwAXABuACAAIAAgACAAIAAgACAAIABcAG4AIAAgACAAIAAgACAAIAAgAC8ALwAgAFcAZQBpAGcAaAB0AGUAZAAgAHYAYQBsAHUAZQAgANcAIABmAHIAZQBxAHUAZQBuAGMAeQBcAG4AIAAgACAAIAAgACAAIAAgAHAAcgBvAGQAdQBjAHQAcwAsACAAdQBfAHYAYQBsAHMAIAAqACAAdwBlAGkAZwBoAHQAcwAsAFwAbgAgACAAIAAgACAAIAAgACAAXABuACAAIAAgACAAIAAgACAAIAAvAC8AIABBAGQAZAAgAGMAbwBsAHUAbQBuACAAaABlAGEAZABlAHIAcwAgAGkAZgAgAFwAIgBMAEIATABcACIAIABtAG8AZABlAFwAbgAgACAAIAAgACAAIAAgACAAdgBhAGwAdQBlAHMAXwBjAG8AbAAsACAASQBGACgAbQBvAGQAZQAgAD0AIABcACIATABCAEwAXAAiACwAIABWAFMAVABBAEMASwAoAFwAIgBWAGEAbAB1AGUAXAAiACwAIAB1AF8AdgBhAGwAcwApACwAIAB1AF8AdgBhAGwAcwApACwAXABuACAAIAAgACAAIAAgACAAIAB3AGUAaQBnAGgAdABzAF8AYwBvAGwALAAgAEkARgAoAG0AbwBkAGUAIAA9ACAAXAAiAEwAQgBMAFwAIgAsACAAVgBTAFQAQQBDAEsAKABcACIAVwBlAGkAZwBoAHQAXAAiACwAIAB3AGUAaQBnAGgAdABzACkALAAgAHcAZQBpAGcAaAB0AHMAKQAsAFwAbgAgACAAIAAgACAAIAAgACAAcAByAG8AZAB1AGMAdABzAF8AYwBvAGwALAAgAEkARgAoAG0AbwBkAGUAIAA9ACAAXAAiAEwAQgBMAFwAIgAsACAAVgBTAFQAQQBDAEsAKABcACIAUAByAG8AZAB1AGMAdABcACIALAAgAHAAcgBvAGQAdQBjAHQAcwApACwAIABwAHIAbwBkAHUAYwB0AHMAKQAsAFwAbgAgACAAIAAgACAAIAAgACAAXABuACAAIAAgACAAIAAgACAAIAAvAC8AIABGAGkAbgBhAGwAIABvAHUAdABwAHUAdABcAG4AIAAgACAAIAAgACAAIAAgAEgAUwBUAEEAQwBLACgAdgBhAGwAdQBlAHMAXwBjAG8AbAAsACAAdwBlAGkAZwBoAHQAcwBfAGMAbwBsACwAIABwAHIAbwBkAHUAYwB0AHMAXwBjAG8AbAApAFwAbgAgACAAIAAgACkAXABuACkAOwBcAG4AXABuAC8AKgAgAFMAVABBAFQAXwBXAFQARABfAEEAVgBHAFwAbgBcAG4AUgBlAHQAdQByAG4AcwAgAHQAaABlACAAdwBlAGkAZwBoAHQAZQBkACAAYQB2AGUAcgBhAGcAZQAgAG8AZgAgAGEAIAB2AGEAbAB1AGUAIABzAGUAdAAgAGIAYQBzAGUAZAAgAG8AbgAgAGEAIABtAGEAdABjAGgAaQBuAGcAIAB3AGUAaQBnAGgAdAAgAHMAZQB0AC4AXABuAFwAbgBBAHIAZwB1AG0AZQBuAHQAcwA6AFwAbgAtACAAdwB0AHMAIAAgACAAIAA6ACAAYQByAHIAYQB5ACAAbwBmACAAdwBlAGkAZwBoAHQAcwBcAG4ALQAgAHYAYQBsAHUAZQBzACAAOgAgAGEAcgByAGEAeQAgAG8AZgAgAHYAYQBsAHUAZQBzACAAKABzAGEAbQBlACAAbABlAG4AZwB0AGgAIABhAHMAIAB3AGUAaQBnAGgAdABzACkAXABuAFwAbgBSAGUAdAB1AHIAbgBzADoAXABuAC0AIABXAGUAaQBnAGgAdABlAGQAIABhAHYAZQByAGEAZwBlACAAPQAgAFMAVQBNAFAAUgBPAEQAVQBDAFQAKAB3AHQAcwAsACAAdgBhAGwAdQBlAHMAKQAgAC8AIABTAFUATQAoAHcAdABzACkAXABuAC0AIABSAGUAdAB1AHIAbgBzACAAIwBOAC8AQQAgAGkAZgAgAGkAbgBwAHUAdAAgAGwAZQBuAGcAdABoAHMAIABtAGkAcwBtAGEAdABjAGgAIABvAHIAIAB3AGUAaQBnAGgAdAAgAHMAdQBtACAAaQBzACAAegBlAHIAbwBcAG4AXABuACoALwBcAG4AUwBUAEEAVABfAFcAVABEAF8AQQBWAEcAIAA9ACAATABBAE0AQgBEAEEAKAB3AHQAcwAsACAAdgBhAGwAdQBlAHMALABcAG4AIAAgACAAIABMAEUAVAAoAFwAbgAgACAAIAAgACAAIAAgACAAbABlAG4AXwBtAGEAdABjAGgALAAgAEMATwBVAE4AVABBACgAdwB0AHMAKQAgAD0AIABDAE8AVQBOAFQAQQAoAHYAYQBsAHUAZQBzACkALABcAG4AIAAgACAAIAAgACAAIAAgAHQAbwB0AGEAbABfAHcAdAAsACAAUwBVAE0AKAB3AHQAcwApACwAXABuACAAIAAgACAAIAAgACAAIAByAGUAcwB1AGwAdAAsACAASQBGACgATgBPAFQAKABsAGUAbgBfAG0AYQB0AGMAaAApACAAKwAgACgAdABvAHQAYQBsAF8AdwB0ACAAPQAgADAAKQAsACAATgBBACgAKQAsACAAUwBVAE0AUABSAE8ARABVAEMAVAAoAHcAdABzACwAIAB2AGEAbAB1AGUAcwApACAALwAgAHQAbwB0AGEAbABfAHcAdAApACwAXABuACAAIAAgACAAIAAgACAAIAByAGUAcwB1AGwAdABcAG4AIAAgACAAIAApAFwAbgApADsAXABuAFwAbgAvACoAIABTAFQAQQBUAF8AUwBFAEwARgBfAFcAVABEAF8AQQBWAEcAXABuAFwAbgBSAGUAdAB1AHIAbgBzACAAYQAgAHMAZQBsAGYALQB3AGUAaQBnAGgAdABlAGQAIABhAHYAZQByAGEAZwBlACAAbwBmACAAdgBhAGwAdQBlAHMALAAgAHcAaABlAHIAZQAgAGUAYQBjAGgAIAB2AGEAbAB1AGUAIABpAHMAIAB0AHIAZQBhAHQAZQBkACAAYQBzACAAaQB0AHMAIABvAHcAbgAgAHcAZQBpAGcAaAB0AC4AXABuAFwAbgBBAHIAZwB1AG0AZQBuAHQAcwA6AFwAbgAtACAAcgBhAG4AZwBlACAAOgAgAG4AdQBtAGUAcgBpAGMAIABhAHIAcgBhAHkAXABuAFwAbgBSAGUAdAB1AHIAbgBzADoAXABuAC0AIACjAygAeABiHbIAKQAgAC8AIACjAygAeABiHSkAXABuAC0AIABSAGUAdAB1AHIAbgBzACAAIwBOAC8AQQAgAGkAZgAgAHQAbwB0AGEAbAAgAHMAdQBtACAAPQAgADAAXABuAFwAbgAqAC8AXABuAFMAVABBAFQAXwBTAEUATABGAF8AVwBUAEQAXwBBAFYARwAgAD0AIABMAEEATQBCAEQAQQAoAHIAYQBuAGcAZQAsAFwAbgAgACAAIAAgAEwARQBUACgAXABuACAAIAAgACAAIAAgACAAIABzAHUAbQBfAHYAYQBsAHMALAAgAFMAVQBNACgAcgBhAG4AZwBlACkALABcAG4AIAAgACAAIAAgACAAIAAgAHIAZQBzAHUAbAB0ACwAIABJAEYAKABzAHUAbQBfAHYAYQBsAHMAIAA9ACAAMAAsACAATgBBACgAKQAsACAAUwBVAE0AUABSAE8ARABVAEMAVAAoAHIAYQBuAGcAZQAsACAAcgBhAG4AZwBlACkAIAAvACAAcwB1AG0AXwB2AGEAbABzACkALABcAG4AIAAgACAAIAAgACAAIAAgAHIAZQBzAHUAbAB0AFwAbgAgACAAIAAgACkAXABuACkAOwBcAG4AXABuAC8AKgAgAFMAVABBAFQAXwBQAEMAVABfAFIARQBNAEEAUABcAG4AXABuAFIAZQBzAGMAYQBsAGUAcwAgAGEAIAB2AGEAbAB1AGUAIABmAHIAbwBtACAAbwBuAGUAIABuAHUAbQBlAHIAaQBjACAAcgBhAG4AZwBlACAAaQBuAHQAbwAgAGEAbgBvAHQAaABlAHIALAAgAHAAcgBlAHMAZQByAHYAaQBuAGcAIABpAHQAcwBcAG4AcgBlAGwAYQB0AGkAdgBlACAAcABvAHMAaQB0AGkAbwBuACAAKABwAGUAcgBjAGUAbgB0AGkAbABlACkAIABiAGUAdAB3AGUAZQBuACAAdABoAGUAIAB0AHcAbwAgAGkAbgB0AGUAcgB2AGEAbABzAC4AXABuAFwAbgBBAHIAZwB1AG0AZQBuAHQAcwA6AFwAbgAtACAAUwB0AGEAcgB0AE0AaQBuACwAIABTAHQAYQByAHQATQBhAHgAIAA6ACAAbwByAGkAZwBpAG4AYQBsACAAbgB1AG0AZQByAGkAYwAgAHIAYQBuAGcAZQBcAG4ALQAgAFQAYQByAGcAZQB0ACAAIAAgACAAIAAgACAAIAAgACAAIAAgACAAOgAgAHYAYQBsAHUAZQAgAHcAaQB0AGgAaQBuACAAdABoAGUAIABvAHIAaQBnAGkAbgBhAGwAIAByAGEAbgBnAGUAXABuAC0AIABFAG4AZABNAGkAbgAsACAARQBuAGQATQBhAHgAIAAgACAAIAAgADoAIABkAGUAcwB0AGkAbgBhAHQAaQBvAG4AIAByAGEAbgBnAGUAXABuAC0AIABkAGUAYwBwAHIAZQBjACAAKABvAHAAdABpAG8AbgBhAGwAKQAgADoAIABkAGUAYwBpAG0AYQBsACAAcAByAGUAYwBpAHMAaQBvAG4AIAAoAGQAZQBmAGEAdQBsAHQAIAA9ACAAMQA1ACkAXABuAFwAbgBSAGUAdAB1AHIAbgBzADoAXABuAC0AIABUAGgAZQAgAHAAZQByAGMAZQBuAHQAaQBsAGUALQBlAHEAdQBpAHYAYQBsAGUAbgB0ACAAdgBhAGwAdQBlACAAaQBuACAAdABoAGUAIABzAGUAYwBvAG4AZAAgAHIAYQBuAGcAZQBcAG4AXABuAEUAeABhAG0AcABsAGUAOgBcAG4AIAAgACAAIABTAFQAQQBUAF8AUABDAFQAXwBSAEUATQBBAFAAKAAzACwAIAAxADEALAAgADUALAAgADIALAAgADEAOQApAFwAbgAgACAAIAAgAJIhIAA2AC4AMgA1ACAAKABzAGkAbgBjAGUAIAA1ACAAaQBzACAAMgA1ACUAIABiAGUAdAB3AGUAZQBuACAAMwATIDEAMQAsACAAYQBuAGQAIAA2AC4AMgA1ACAAaQBzACAAMgA1ACUAIABiAGUAdAB3AGUAZQBuACAAMgATIDEAOQApAFwAbgBcAG4AKgAvAFwAbgBTAFQAQQBUAF8AUABDAFQAXwBSAEUATQBBAFAAIAA9ACAATABBAE0AQgBEAEEAKABTAHQAYQByAHQATQBpAG4ALAAgAFMAdABhAHIAdABNAGEAeAAsACAAVABhAHIAZwBlAHQALAAgAEUAbgBkAE0AaQBuACwAIABFAG4AZABNAGEAeAAsACAAWwBkAGUAYwBwAHIAZQBjAF0ALABcAG4AIAAgACAAIABMAEUAVAAoAFwAbgAgACAAIAAgACAAIAAgACAAZABlAGMAcAByAGUAYwAsACAASQBGACgASQBTAE8ATQBJAFQAVABFAEQAKABkAGUAYwBwAHIAZQBjACkALAAgADEANQAsACAAZABlAGMAcAByAGUAYwApACwAXABuACAAIAAgACAAIAAgACAAIABwAGMAdAAsACAAKABUAGEAcgBnAGUAdAAgAC0AIABTAHQAYQByAHQATQBpAG4AKQAgAC8AIAAoAFMAdABhAHIAdABNAGEAeAAgAC0AIABTAHQAYQByAHQATQBpAG4AKQAsAFwAbgAgACAAIAAgACAAIAAgACAAYwBhAGwAYwAsACAAcABjAHQAIAAqACAAKABFAG4AZABNAGEAeAAgAC0AIABFAG4AZABNAGkAbgApACAAKwAgAEUAbgBkAE0AaQBuACwAXABuACAAIAAgACAAIAAgACAAIABSAE8AVQBOAEQAKABjAGEAbABjACwAIABkAGUAYwBwAHIAZQBjACkAXABuACAAIAAgACAAKQBcAG4AKQA7AFwAbgBcAG4ALwAqACAAUwBUAEEAVABfAFAAQwBUAF8ATwBGAF8AUgBBAE4ARwBFAFwAbgBcAG4AUgBlAHQAdQByAG4AcwAgAHQAaABlACAAcABlAHIAYwBlAG4AdABpAGwAZQAgACgAYQBzACAAYQAgAGQAZQBjAGkAbQBhAGwAIABmAHIAYQBjAHQAaQBvAG4AKQAgAHQAaABhAHQAIABhACAAdgBhAGwAdQBlACAAcgBlAHAAcgBlAHMAZQBuAHQAcwBcAG4AdwBpAHQAaABpAG4AIABhACAAcwBwAGUAYwBpAGYAaQBlAGQAIABuAHUAbQBlAHIAaQBjACAAcgBhAG4AZwBlAC4AXABuAFwAbgBBAHIAZwB1AG0AZQBuAHQAcwA6AFwAbgAtACAAbQBpAG4AIAAgACAAIAAgACAAOgAgAGwAbwB3AGUAcgAgAGIAbwB1AG4AZAAgAG8AZgAgAHIAYQBuAGcAZQBcAG4ALQAgAG0AYQB4ACAAIAAgACAAIAAgADoAIAB1AHAAcABlAHIAIABiAG8AdQBuAGQAIABvAGYAIAByAGEAbgBnAGUAXABuAC0AIAB2AGEAbAB1AGUAIAAgACAAIAA6ACAAdgBhAGwAdQBlACAAdABvACAAZQB2AGEAbAB1AGEAdABlAFwAbgAtACAAZABlAGMAcAByAGUAYwAgACAAOgAgAG8AcAB0AGkAbwBuAGEAbAAgAGQAZQBjAGkAbQBhAGwAIABwAHIAZQBjAGkAcwBpAG8AbgAgACgAZABlAGYAYQB1AGwAdAAgAD0AIAAxADUAKQBcAG4AXABuAFIAZQB0AHUAcgBuAHMAOgBcAG4ALQAgAFQAaABlACAAcAByAG8AcABvAHIAdABpAG8AbgBhAGwAIABwAG8AcwBpAHQAaQBvAG4AIABvAGYAIABgAHYAYQBsAHUAZQBgACAAaQBuACAAdABoAGUAIAByAGEAbgBnAGUAIABbAG0AaQBuACwAIABtAGEAeABdAFwAbgBcAG4ARQB4AGEAbQBwAGwAZQA6AFwAbgAgACAAIAAgAFMAVABBAFQAXwBQAEMAVABfAE8ARgBfAFIAQQBOAEcARQAoADMALAAgADEAMgAsACAANwApAFwAbgAgACAAIAAgAJIhIAAwAC4ANAA0ADQALgAuAC4AIAAoAGIAZQBjAGEAdQBzAGUAIAA3ACAAaQBzACAANAA0AC4ANAAlACAAbwBmACAAdABoAGUAIAB3AGEAeQAgAGYAcgBvAG0AIAAzACAAdABvACAAMQAyACkAXABuAFwAbgAqAC8AXABuAFMAVABBAFQAXwBQAEMAVABfAE8ARgBfAFIAQQBOAEcARQAgAD0AIABMAEEATQBCAEQAQQAoAG0AaQBuACwAIABtAGEAeAAsACAAdgBhAGwAdQBlACwAIABbAGQAZQBjAHAAcgBlAGMAXQAsAFwAbgAgACAAIAAgAEwARQBUACgAXABuACAAIAAgACAAIAAgACAAIABkAGUAYwBwAHIAZQBjACwAIABJAEYAKABJAFMATwBNAEkAVABUAEUARAAoAGQAZQBjAHAAcgBlAGMAKQAsACAAMQA1ACwAIABkAGUAYwBwAHIAZQBjACkALABcAG4AIAAgACAAIAAgACAAIAAgAGMAYQBsAGMALAAgACgAdgBhAGwAdQBlACAALQAgAG0AaQBuACkAIAAvACAAKABtAGEAeAAgAC0AIABtAGkAbgApACwAXABuACAAIAAgACAAIAAgACAAIABSAE8AVQBOAEQAKABjAGEAbABjACwAIABkAGUAYwBwAHIAZQBjACkAXABuACAAIAAgACAAKQBcAG4AKQA7AFwAbgBcAG4ALwAqACAAUwBUAEEAVABfAFYAQQBMAFUARQBfAE8ARgBfAFAAQwBUAFwAbgBcAG4AUgBlAHQAdQByAG4AcwAgAHQAaABlACAAdgBhAGwAdQBlACAAdABoAGEAdAAgAGMAbwByAHIAZQBzAHAAbwBuAGQAcwAgAHQAbwAgAGEAIABnAGkAdgBlAG4AIABwAGUAcgBjAGUAbgB0AGEAZwBlACAAKABhAHMAIABhACAAZABlAGMAaQBtAGEAbAApACAAXABuAHcAaQB0AGgAaQBuACAAYQAgAHMAcABlAGMAaQBmAGkAZQBkACAAbgB1AG0AZQByAGkAYwAgAHIAYQBuAGcAZQAuAFwAbgBcAG4AQQByAGcAdQBtAGUAbgB0AHMAOgBcAG4ALQAgAG0AaQBuACAAIAAgACAAIAAgADoAIABsAG8AdwBlAHIAIABiAG8AdQBuAGQAIABvAGYAIAByAGEAbgBnAGUAXABuAC0AIABtAGEAeAAgACAAIAAgACAAIAA6ACAAdQBwAHAAZQByACAAYgBvAHUAbgBkACAAbwBmACAAcgBhAG4AZwBlAFwAbgAtACAAcABjAHQAIAAgACAAIAAgACAAOgAgAHAAZQByAGMAZQBuAHQAYQBnAGUAIABlAHgAcAByAGUAcwBzAGUAZAAgAGEAcwAgAGEAIABkAGUAYwBpAG0AYQBsACAAKABlAC4AZwAuACAAMAAuADQAMAA2ADUAIABmAG8AcgAgADQAMAAuADYANQAlACkAXABuAC0AIABkAGUAYwBwAHIAZQBjACAAIAA6ACAAbwBwAHQAaQBvAG4AYQBsACAAZABlAGMAaQBtAGEAbAAgAHAAcgBlAGMAaQBzAGkAbwBuACAAKABkAGUAZgBhAHUAbAB0ACAAPQAgADEANQApAFwAbgBcAG4AUgBlAHQAdQByAG4AcwA6AFwAbgAtACAAVABoAGUAIAB2AGEAbAB1AGUAIABhAHQAIAB0AGgAZQAgAGcAaQB2AGUAbgAgAHAAZQByAGMAZQBuAHQAaQBsAGUAIABiAGUAdAB3AGUAZQBuACAAbQBpAG4AIABhAG4AZAAgAG0AYQB4AFwAbgBcAG4ARQB4AGEAbQBwAGwAZQA6AFwAbgAgACAAIAAgAFMAVABBAFQAXwBWAEEATABVAEUAXwBPAEYAXwBQAEMAVAAoADMALAAgADEAMgAsACAAMAAuADQAMAA2ADUAKQBcAG4AIAAgACAAIACSISAANgAuADYANQA4ADUAIAAoAHcAaABpAGMAaAAgAGkAcwAgADQAMAAuADYANQAlACAAYgBlAHQAdwBlAGUAbgAgADMAIABhAG4AZAAgADEAMgApAFwAbgBcAG4AKgAvAFwAbgBTAFQAQQBUAF8AVgBBAEwAVQBFAF8ATwBGAF8AUABDAFQAIAA9ACAATABBAE0AQgBEAEEAKABtAGkAbgAsACAAbQBhAHgALAAgAHAAYwB0ACwAIABbAGQAZQBjAHAAcgBlAGMAXQAsAFwAbgAgACAAIAAgAEwARQBUACgAXABuACAAIAAgACAAIAAgACAAIABkAGUAYwBwAHIAZQBjACwAIABJAEYAKABJAFMATwBNAEkAVABUAEUARAAoAGQAZQBjAHAAcgBlAGMAKQAsACAAMQA1ACwAIABkAGUAYwBwAHIAZQBjACkALABcAG4AIAAgACAAIAAgACAAIAAgAGMAYQBsAGMALAAgAHAAYwB0ACAAKgAgACgAbQBhAHgAIAAtACAAbQBpAG4AKQAgACsAIABtAGkAbgAsAFwAbgAgACAAIAAgACAAIAAgACAAUgBPAFUATgBEACgAYwBhAGwAYwAsACAAZABlAGMAcAByAGUAYwApAFwAbgAgACAAIAAgACkAXABuACkAOwBcAG4AXABuAC8AKgAgAFMAVABBAFQAXwBCAEUATgBGAE8AUgBEAF8AVABBAEIATABFAFwAbgBcAG4AUgBlAHQAdQByAG4AcwAgAHQAaABlACAAdABoAGUAbwByAGUAdABpAGMAYQBsACAAQgBlAG4AZgBvAHIAZAAgAGQAaQBzAHQAcgBpAGIAdQB0AGkAbwBuACAAcAByAG8AYgBhAGIAaQBsAGkAdABpAGUAcwAgAGYAbwByACAAbABlAGEAZABpAG4AZwAgAGQAaQBnAGkAdABzACAAMQAgAHQAaAByAG8AdQBnAGgAIAA5AC4AXABuAFwAbgBBAHIAZwB1AG0AZQBuAHQAcwA6AFwAbgAtACAAbQBvAGQAZQAgACgAbwBwAHQAaQBvAG4AYQBsACkAOgAgAFwAbgAgACAAIAAgAC0AIABcACIATABCAEwAXAAiACAAkiEgAHIAZQB0AHUAcgBuAHMAIABhACAAMgAtAGMAbwBsAHUAbQBuACAAYQByAHIAYQB5ADoAIABEAGkAZwBpAHQAIAB8ACAAUAByAG8AYgBhAGIAaQBsAGkAdAB5AFwAbgAgACAAIAAgAC0AIABiAGwAYQBuAGsALwBvAG0AaQB0AHQAZQBkACAAkiEgAHIAZQB0AHUAcgBuAHMAIAByAGEAdwAgAHAAcgBvAGIAYQBiAGkAbABpAHQAaQBlAHMAIABvAG4AbAB5ACAAKAAxAC0AYwBvAGwAdQBtAG4AKQBcAG4AXABuAFIAZQB0AHUAcgBuAHMAOgBcAG4ALQAgAEEAIAB2AGUAcgB0AGkAYwBhAGwAIABsAGkAcwB0ACAAbwBmACAAOQAgAEIAZQBuAGYAbwByAGQAIABwAHIAbwBiAGEAYgBpAGwAaQB0AGkAZQBzACAAKABsAG8AZwAtAGIAYQBzAGUAZAAgAGQAaQBzAHQAcgBpAGIAdQB0AGkAbwBuACkAXABuAC0AIABPAHAAdABpAG8AbgBhAGwAbAB5ACAAbABhAGIAZQBsAGUAZAAgAHcAaQB0AGgAIABkAGkAZwBpAHQAcwAgADEAIAB0AGgAcgBvAHUAZwBoACAAOQBcAG4AXABuAEYAbwByAG0AdQBsAGEAOgBcAG4ALQAgAFAAKABkACkAIAA9ACAATABPAEcAMQAwACgAMQAgACsAIAAxAC8AZAApACwAIABmAG8AcgAgAGQAIABpAG4AIAB7ADEALAAgADIALAAgAC4ALgAuACwAIAA5AH0AXABuAFwAbgBDAG8AbQBtAG8AbgBsAHkAIAB1AHMAZQBkACAAZgBvAHIAOgBcAG4ALQAgAEQAZQB0AGUAYwB0AGkAbgBnACAAdQBuAG4AYQB0AHUAcgBhAGwAIABwAGEAdAB0AGUAcgBuAHMAIABpAG4AIABkAGEAdABhAHMAZQB0AHMAXABuAC0AIABGAHIAYQB1AGQAIABkAGUAdABlAGMAdABpAG8AbgAgAGEAbgBkACAAZgBvAHIAZQBuAHMAaQBjACAAYQBjAGMAbwB1AG4AdABpAG4AZwBcAG4ALQAgAE0AbwBkAGUAbABpAG4AZwAgAGQAaQBzAHQAcgBpAGIAdQB0AGkAbwBuAHMAIABvAGYAIABuAGEAdAB1AHIAYQBsAGwAeQAgAG8AYwBjAHUAcgByAGkAbgBnACAAbgB1AG0AZQByAGkAYwBhAGwAIABkAGEAdABhAFwAbgBcAG4AKgAvAFwAbgBTAFQAQQBUAF8AQgBFAE4ARgBPAFIARABfAFQAQQBCAEwARQAgAD0AIABMAEEATQBCAEQAQQAoAFsAbQBvAGQAZQBdACwAXABuACAAIAAgACAATABFAFQAKABcAG4AIAAgACAAIAAgACAAIAAgAG0AbwBkAGUALAAgAEkARgAoAEkAUwBPAE0ASQBUAFQARQBEACgAbQBvAGQAZQApACwAIABcACIAXAAiACwAIABVAFAAUABFAFIAKABtAG8AZABlACkAKQAsAFwAbgAgACAAIAAgACAAIAAgACAAXABuACAAIAAgACAAIAAgACAAIAAvAC8AIABEAGkAZwBpAHQAcwAgADEAIAB0AGgAcgBvAHUAZwBoACAAOQBcAG4AIAAgACAAIAAgACAAIAAgAGQAaQBnAGkAdABzACwAIABTAEUAUQBVAEUATgBDAEUAKAA5ACwAIAAsACAAMQAsACAAMQApACwAXABuACAAIAAgACAAIAAgACAAIABcAG4AIAAgACAAIAAgACAAIAAgAC8ALwAgAEIAZQBuAGYAbwByAGQAIABwAHIAbwBiAGEAYgBpAGwAaQB0AGkAZQBzAFwAbgAgACAAIAAgACAAIAAgACAAcAByAG8AYgBzACwAIABCAFkAUgBPAFcAKABkAGkAZwBpAHQAcwAsACAATABBAE0AQgBEAEEAKABkACwAIABMAE8ARwAxADAAKAAxACAAKwAgACgAMQAgAC8AIABkACkAKQApACkALABcAG4AIAAgACAAIAAgACAAIAAgAFwAbgAgACAAIAAgACAAIAAgACAALwAvACAATwBwAHQAaQBvAG4AYQBsACAAbABhAGIAZQBsAGUAZAAgAG8AdQB0AHAAdQB0AFwAbgAgACAAIAAgACAAIAAgACAAcgBlAHMAdQBsAHQALAAgAEkARgAoAG0AbwBkAGUAIAA9ACAAXAAiAEwAQgBMAFwAIgAsACAASABTAFQAQQBDAEsAKABkAGkAZwBpAHQAcwAsACAAcAByAG8AYgBzACkALAAgAHAAcgBvAGIAcwApACwAXABuACAAIAAgACAAIAAgACAAIAByAGUAcwB1AGwAdABcAG4AIAAgACAAIAApAFwAbgApADsAXABuAFwAbgAvACoAIABTAFQAQQBUAF8AUgBOAEQAXwBCAEUATgBGAE8AUgBEAFwAbgBcAG4ARwBlAG4AZQByAGEAdABlAHMAIABvAG4AZQAgAG8AcgAgAG0AbwByAGUAIAByAGEAbgBkAG8AbQAgAGQAaQBnAGkAdABzACAAYgBhAHMAZQBkACAAbwBuACAAdABoAGUAIABCAGUAbgBmAG8AcgBkACAAZABpAHMAdAByAGkAYgB1AHQAaQBvAG4ALgBcAG4AXABuAEEAcgBnAHUAbQBlAG4AdABzADoAXABuAC0AIABkAGkAZwBpAHQAcwAgACgAbwBwAHQAaQBvAG4AYQBsACkAOgAgAG4AdQBtAGIAZQByACAAbwBmACAAZABpAGcAaQB0AHMAIAB0AG8AIAByAGUAdAB1AHIAbgAgACgAZABlAGYAYQB1AGwAdAAgAD0AIAAxACkAXABuAFwAbgBSAGUAdAB1AHIAbgBzADoAXABuAC0AIABBACAAcwBpAG4AZwBsAGUALQBkAGkAZwBpAHQAIABuAHUAbQBiAGUAcgAgAGkAZgAgAGQAaQBnAGkAdABzACAAPQAgADEAXABuAC0AIABBACAAbQB1AGwAdABpAC0AZABpAGcAaQB0ACAAbgB1AG0AYgBlAHIAIABjAG8AbQBwAG8AcwBlAGQAIABvAGYAIABCAGUAbgBmAG8AcgBkAC0AZABpAHMAdAByAGkAYgB1AHQAZQBkACAAZABpAGcAaQB0AHMAIABvAHQAaABlAHIAdwBpAHMAZQBcAG4AXABuAEQAaQBzAHQAcgBpAGIAdQB0AGkAbwBuADoAXABuAC0AIABCAGEAcwBlAGQAIABvAG4AIABsAGUAYQBkAGkAbgBnACAAZABpAGcAaQB0ACAAcAByAG8AYgBhAGIAaQBsAGkAdABpAGUAcwA6AFwAbgAgACAAIAAgAFAAKABkACkAIAA9ACAATABPAEcAMQAwACgAMQAgACsAIAAxAC8AZAApACAAZgBvAHIAIABkACAACCIgAHsAMQAuAC4AOQB9AFwAbgBcAG4AKgAvAFwAbgBTAFQAQQBUAF8AUgBOAEQAXwBCAEUATgBGAE8AUgBEACAAPQAgAEwAQQBNAEIARABBACgAWwBkAGkAZwBpAHQAcwBdACwAXABuACAAIAAgACAATABFAFQAKABcAG4AIAAgACAAIAAgACAAIAAgAGQAaQBnAGkAdABzACwAIABJAEYAKABJAFMATwBNAEkAVABUAEUARAAoAGQAaQBnAGkAdABzACkALAAgADEALAAgAGQAaQBnAGkAdABzACkALABcAG4AIAAgACAAIAAgACAAIAAgAFwAbgAgACAAIAAgACAAIAAgACAALwAvACAARABpAGcAaQB0ACAAcgBhAG4AZwBlACAAMQATIDkAXABuACAAIAAgACAAIAAgACAAIABuAHUAbQBsAGkAcwB0ACwAIABTAEUAUQBVAEUATgBDAEUAKAA5ACwAIAAsACAAMQAsACAAMQApACwAXABuACAAIAAgACAAIAAgACAAIABcAG4AIAAgACAAIAAgACAAIAAgAC8ALwAgAEMAdQBtAHUAbABhAHQAaQB2AGUAIABCAGUAbgBmAG8AcgBkACAAcAByAG8AYgBhAGIAaQBsAGkAdABpAGUAcwBcAG4AIAAgACAAIAAgACAAIAAgAHAAcgBvAGIAbABpAHMAdAAsACAAewAwAC4AMwAwADEALAAgADAALgA0ADcANwAsACAAMAAuADYAMAAyACwAIAAwAC4ANgA5ADkALAAgADAALgA3ADcAOAAsACAAMAAuADgANAA1ACwAIAAwAC4AOQAwADMALAAgADAALgA5ADUANAAsACAAMQB9ACwAXABuACAAIAAgACAAIAAgACAAIABcAG4AIAAgACAAIAAgACAAIAAgAC8ALwAgAEcAZQBuAGUAcgBhAHQAZQAgAHIAYQBuAGQAbwBtACAAYQByAHIAYQB5ACAAbwBmACAAcABlAHIAYwBlAG4AdABpAGwAZQBzAFwAbgAgACAAIAAgACAAIAAgACAAcgBhAG4AZABfAG4AdQBtAHMALAAgAFIAQQBOAEQAQQBSAFIAQQBZACgAZABpAGcAaQB0AHMALAAgADEAKQAsAFwAbgAgACAAIAAgACAAIAAgACAAXABuACAAIAAgACAAIAAgACAAIAAvAC8AIABNAGEAdABjAGgAIAB0AG8AIABkAGkAZwBpAHQAIAB2AGkAYQAgAHAAZQByAGMAZQBuAHQAaQBsAGUAIABtAGEAcABwAGkAbgBnAFwAbgAgACAAIAAgACAAIAAgACAAaQBuAGQAaQBjAGUAcwAsACAATQBBAFQAQwBIACgAWABMAE8ATwBLAFUAUAAoAHIAYQBuAGQAXwBuAHUAbQBzACwAIABwAHIAbwBiAGwAaQBzAHQALAAgAHAAcgBvAGIAbABpAHMAdAAsACAALAAgADEAKQAsACAAcAByAG8AYgBsAGkAcwB0ACwAIAAxACkALABcAG4AIAAgACAAIAAgACAAIAAgAGQAaQBnAGkAdABzAF8AZwBlAG4AZQByAGEAdABlAGQALAAgAEkATgBEAEUAWAAoAG4AdQBtAGwAaQBzAHQALAAgAGkAbgBkAGkAYwBlAHMAKQAsAFwAbgAgACAAIAAgACAAIAAgACAAXABuACAAIAAgACAAIAAgACAAIAAvAC8AIABPAHUAdABwAHUAdAAgAGEAcwAgAG4AdQBtAGUAcgBpAGMAIAB2AGEAbAB1AGUAXABuACAAIAAgACAAIAAgACAAIABvAHUAdABwAHUAdAAsACAASQBGACgAXABuACAAIAAgACAAIAAgACAAIAAgACAAIAAgAGQAaQBnAGkAdABzACAAPQAgADEALABcAG4AIAAgACAAIAAgACAAIAAgACAAIAAgACAAVgBBAEwAVQBFACgAZABpAGcAaQB0AHMAXwBnAGUAbgBlAHIAYQB0AGUAZAApACwAXABuACAAIAAgACAAIAAgACAAIAAgACAAIAAgAFYAQQBMAFUARQAoAFQARQBYAFQASgBPAEkATgAoAFwAIgBcACIALAAgAFQAUgBVAEUALAAgAGQAaQBnAGkAdABzAF8AZwBlAG4AZQByAGEAdABlAGQAKQApAFwAbgAgACAAIAAgACAAIAAgACAAKQAsAFwAbgAgACAAIAAgACAAIAAgACAAbwB1AHQAcAB1AHQAXABuACAAIAAgACAAKQBcAG4AKQA7AFwAbgBcAG4ALwAqACAAUwBUAEEAVABfAFYAQQBMAF8AQgBSAEEAQwBLAEUAVABcAG4AXABuAFIAZQB0AHUAcgBuAHMAIAB0AGgAZQAgAHYAYQBsAHUAZQBzACAAaQBuACAAYQAgAGQAYQB0AGEAcwBlAHQAIAB0AGgAYQB0ACAAYgByAGEAYwBrAGUAdAAgAGEAIABzAHAAZQBjAGkAZgBpAGUAZAAgAHQAYQByAGcAZQB0ACAAdgBhAGwAdQBlAC4AXABuAFwAbgBBAHIAZwB1AG0AZQBuAHQAcwA6AFwAbgAtACAAVABlAHMAdABBAHIAcgBhAHkAIAA6ACAAYQByAHIAYQB5ACAAbwBmACAAbgB1AG0AZQByAGkAYwAgAHYAYQBsAHUAZQBzAFwAbgAtACAAVABhAHIAZwBlAHQAIAAgACAAIAA6ACAAdABoAGUAIAB2AGEAbAB1AGUAIAB0AG8AIABmAGkAbgBkACAAYgByAGEAYwBrAGUAdABpAG4AZwAgAGIAbwB1AG4AZABzACAAZgBvAHIAXABuAC0AIABpAG4AYwBsACAAIAAgACAAIAAgADoAIABvAHAAdABpAG8AbgBhAGwALAAgAFwAIgBJAE4AQwBcACIAIAAoAGQAZQBmAGEAdQBsAHQAKQAgAGkAbgBjAGwAdQBkAGUAcwAgAHQAYQByAGcAZQB0ACAAaQBuACAAcgBlAHMAdQBsAHQALAAgAFwAIgBFAFgAQwBcACIAIABlAHgAYwBsAHUAZABlAHMAIABpAHQAXABuAC0AIABtAG8AZABlACAAIAAgACAAIAAgADoAIABvAHAAdABpAG8AbgBhAGwAIABsAGEAeQBvAHUAdAA6AFwAbgAgACAAIAAgAFwAIgBWAEUAUgBcACIAIAA9ACAAdgBlAHIAdABpAGMAYQBsACAAYQByAHIAYQB5ACAAKABkAGUAZgBhAHUAbAB0ACkAXABuACAAIAAgACAAXAAiAEgATwBSAFwAIgAgAD0AIABoAG8AcgBpAHoAbwBuAHQAYQBsACAAYQByAHIAYQB5AFwAbgAgACAAIAAgAFwAIgBTAFQAUgBcACIAIAA9ACAAcwB0AHIAaQBuAGcAIABmAG8AcgBtAGEAdAAgAFwAIgAoAGwAbwB3AGUAcgAgADoAIABbAHQAYQByAGcAZQB0AF0AIAA6ACAAdQBwAHAAZQByACkAXAAiAFwAbgAtACAAbABiAGwAIAAgACAAIAAgACAAIAA6ACAAbwBwAHQAaQBvAG4AYQBsACAAawBlAHkAdwBvAHIAZAAgAFwAIgBMAEIATABcACIAIAB0AG8AIABpAG4AYwBsAHUAZABlACAAbABhAGIAZQBsAHMAIABpAG4AIABvAHUAdABwAHUAdAAgACgAaQBnAG4AbwByAGUAZAAgAGkAbgAgAFwAIgBTAFQAUgBcACIAIABtAG8AZABlACkAXABuAC0AIABwAHIAZQBjACAAIAAgACAAIAAgADoAIABvAHAAdABpAG8AbgBhAGwAIABkAGUAYwBpAG0AYQBsACAAcAByAGUAYwBpAHMAaQBvAG4AIAB0AG8AIAByAG8AdQBuAGQAIAB0AG8AIAAoAGQAZQBmAGEAdQBsAHQAIAA9ACAAMwApAFwAbgBcAG4AUgBlAHQAdQByAG4AcwA6AFwAbgAtACAAVABoAGUAIAB2AGEAbAB1AGUAcwAgAGkAbQBtAGUAZABpAGEAdABlAGwAeQAgAGEAYgBvAHYAZQAgAGEAbgBkACAAYgBlAGwAbwB3ACAAdABoAGUAIAB0AGEAcgBnAGUAdAAgACgAbwByACAAYQBsAHMAbwAgAHQAaABlACAAdABhAHIAZwBlAHQALAAgAGkAZgAgAFwAIgBJAE4AQwBcACIAKQBcAG4ALQAgAE8AdQB0AHAAdQB0ACAAYQBzACAAYQByAHIAYQB5ACAAKAB2AGUAcgB0AGkAYwBhAGwAIABvAHIAIABoAG8AcgBpAHoAbwBuAHQAYQBsACkALAAgAHMAdAByAGkAbgBnACwAIABvAHIAIABsAGEAYgBlAGwAZQBkACAAYQByAHIAYQB5AFwAbgBcAG4AKgAvAFwAbgBTAFQAQQBUAF8AVgBBAEwAXwBCAFIAQQBDAEsARQBUACAAPQAgAEwAQQBNAEIARABBACgAVABlAHMAdABBAHIAcgBhAHkALAAgAFQAYQByAGcAZQB0ACwAIABbAGkAbgBjAGwAXQAsACAAWwBtAG8AZABlAF0ALAAgAFsAbABiAGwAXQAsACAAWwBwAHIAZQBjAF0ALABcAG4AIAAgACAAIABMAEUAVAAoAFwAbgAgACAAIAAgACAAIAAgACAAcAByAGUAYwAsACAASQBGACgASQBTAE8ATQBJAFQAVABFAEQAKABwAHIAZQBjACkALAAgADMALAAgAHAAcgBlAGMAKQAsAFwAbgAgACAAIAAgACAAIAAgACAAbQBvAGQAZQAsACAAVQBQAFAARQBSACgASQBGACgASQBTAE8ATQBJAFQAVABFAEQAKABtAG8AZABlACkALAAgAFwAIgBWAEUAUgBcACIALAAgAG0AbwBkAGUAKQApACwAXABuACAAIAAgACAAIAAgACAAIABsAGIAbAAsACAAVQBQAFAARQBSACgASQBGACgASQBTAE8ATQBJAFQAVABFAEQAKABsAGIAbAApACwAIABcACIAXAAiACwAIABsAGIAbAApACkALABcAG4AIAAgACAAIAAgACAAIAAgAGwAYgBsAF8AdgBhAGwALAAgAGwAYgBsACAAPQAgAFwAIgBMAEIATABcACIALABcAG4AIAAgACAAIAAgACAAIAAgAGkAbgBjAGwALAAgAFUAUABQAEUAUgAoAEkARgAoAEkAUwBPAE0ASQBUAFQARQBEACgAaQBuAGMAbAApACwAIABcACIASQBOAEMAXAAiACwAIABpAG4AYwBsACkAKQAsAFwAbgAgACAAIAAgACAAIAAgACAAXABuACAAIAAgACAAIAAgACAAIAAvAC8AIABDAG8AbQBwAHUAdABlACAAYgBvAHUAbgBkAGkAbgBnACAAdgBhAGwAdQBlAHMAXABuACAAIAAgACAAIAAgACAAIABsAG8AdwBlAHIALAAgAE0AQQBYACgARgBJAEwAVABFAFIAKABUAGUAcwB0AEEAcgByAGEAeQAsACAAVABlAHMAdABBAHIAcgBhAHkAIAA8ACAAVABhAHIAZwBlAHQAKQApACwAXABuACAAIAAgACAAIAAgACAAIAB1AHAAcABlAHIALAAgAE0ASQBOACgARgBJAEwAVABFAFIAKABUAGUAcwB0AEEAcgByAGEAeQAsACAAVABlAHMAdABBAHIAcgBhAHkAIAA+ACAAVABhAHIAZwBlAHQAKQApACwAXABuACAAIAAgACAAIAAgACAAIABcAG4AIAAgACAAIAAgACAAIAAgAC8ALwAgAEIAdQBpAGwAZAAgAHYAYQBsAHUAZQAgAGwAaQBzAHQAIABiAGEAcwBlAGQAIABvAG4AIABpAG4AYwBsAHUAcwBpAG8AbgBcAG4AIAAgACAAIAAgACAAIAAgAHYAYQBsAF8AYQByAHIAYQB5ACwAIABJAEYAKABpAG4AYwBsACAAPQAgAFwAIgBJAE4AQwBcACIALAAgAFYAUwBUAEEAQwBLACgAbABvAHcAZQByACwAIABUAGEAcgBnAGUAdAAsACAAdQBwAHAAZQByACkALAAgAFYAUwBUAEEAQwBLACgAbABvAHcAZQByACwAIAB1AHAAcABlAHIAKQApACwAXABuACAAIAAgACAAIAAgACAAIAB2AGEAbABfAGEAcgByAGEAeQBfAHIALAAgAFIATwBVAE4ARAAoAHYAYQBsAF8AYQByAHIAYQB5ACwAIABwAHIAZQBjACkALABcAG4AIAAgACAAIAAgACAAIAAgAFwAbgAgACAAIAAgACAAIAAgACAALwAvACAAQwBvAHIAcgBlAHMAcABvAG4AZABpAG4AZwAgAGwAYQBiAGUAbAAgAGwAaQBzAHQAXABuACAAIAAgACAAIAAgACAAIABsAGIAbABfAGEAcgByAGEAeQAsACAASQBGACgAaQBuAGMAbAAgAD0AIABcACIASQBOAEMAXAAiACwAIAB7AFwAIgBMAG8AdwBlAHIAXAAiADsAIABcACIAVABhAHIAZwBlAHQAXAAiADsAIABcACIAVQBwAHAAZQByAFwAIgB9ACwAIAB7AFwAIgBMAG8AdwBlAHIAXAAiADsAIABcACIAVQBwAHAAZQByAFwAIgB9ACkALABcAG4AIAAgACAAIAAgACAAIAAgAFwAbgAgACAAIAAgACAAIAAgACAALwAvACAATwB1AHQAcAB1AHQAIABzAGUAbABlAGMAdABvAHIAXABuACAAIAAgACAAIAAgACAAIABvAHUAdABwAHUAdAAsACAAUwBXAEkAVABDAEgAKABcAG4AIAAgACAAIAAgACAAIAAgACAAIAAgACAAbQBvAGQAZQAsAFwAbgAgACAAIAAgACAAIAAgACAAIAAgACAAIABcACIAUwBUAFIAXAAiACwAIABcACIAKABcACIAIAAmACAAVABFAFgAVABKAE8ASQBOACgAXAAiACAAOgAgAFwAIgAsACAALAAgAEYASQBYAEUARAAoAHYAYQBsAF8AYQByAHIAYQB5AF8AcgAsACAAcAByAGUAYwApACkAIAAmACAAXAAiACkAXAAiACwAXABuACAAIAAgACAAIAAgACAAIAAgACAAIAAgAFwAIgBIAE8AUgBcACIALAAgAEkARgAoAFwAbgAgACAAIAAgACAAIAAgACAAIAAgACAAIAAgACAAIAAgAGwAYgBsAF8AdgBhAGwALABcAG4AIAAgACAAIAAgACAAIAAgACAAIAAgACAAIAAgACAAIABWAFMAVABBAEMASwAoAFQAUgBBAE4AUwBQAE8AUwBFACgAbABiAGwAXwBhAHIAcgBhAHkAKQAsACAAVABSAEEATgBTAFAATwBTAEUAKAB2AGEAbABfAGEAcgByAGEAeQBfAHIAKQApACwAXABuACAAIAAgACAAIAAgACAAIAAgACAAIAAgACAAIAAgACAAVABSAEEATgBTAFAATwBTAEUAKAB2AGEAbABfAGEAcgByAGEAeQBfAHIAKQBcAG4AIAAgACAAIAAgACAAIAAgACAAIAAgACAAKQAsAFwAbgAgACAAIAAgACAAIAAgACAAIAAgACAAIABcACIAVgBFAFIAXAAiACwAIABJAEYAKABsAGIAbABfAHYAYQBsACwAIABIAFMAVABBAEMASwAoAGwAYgBsAF8AYQByAHIAYQB5ACwAIAB2AGEAbABfAGEAcgByAGEAeQBfAHIAKQAsACAAdgBhAGwAXwBhAHIAcgBhAHkAXwByACkALABcAG4AIAAgACAAIAAgACAAIAAgACAAIAAgACAAdgBhAGwAXwBhAHIAcgBhAHkAXwByACAALwAvACAAZgBhAGwAbABiAGEAYwBrACAAZABlAGYAYQB1AGwAdABcAG4AIAAgACAAIAAgACAAIAAgACkALABcAG4AIAAgACAAIAAgACAAIAAgAG8AdQB0AHAAdQB0AFwAbgAgACAAIAAgACkAXABuACkAOwAiAH0ALAB7ACIAcABhAHQAaAAiADoAIgAvAHAAcgBvAGoAZQBjAHQAcwAvAE4AdQBtAE4AbwB0AGUAIgAsACIAdABlAHgAdAAiADoAIgAvACoAIABOAFUATQBOAE8AVABFAF8ARQBOAEcASQBOAEUARQBSAEkATgBHADoAXABuACAAIAAgAFAAdQByAHAAbwBzAGUAOgBcAG4AIAAgACAAQwBvAG4AdgBlAHIAdABzACAAYQAgAG4AdQBtAGIAZQByACAAaQBuAHQAbwAgACoAKgBlAG4AZwBpAG4AZQBlAHIAaQBuAGcAIABuAG8AdABhAHQAaQBvAG4AKgAqACAAKABpAC4AZQAuACwAIABlAHgAcABvAG4AZQBuAHQAIABpAHMAIABhAGwAdwBhAHkAcwAgAGEAIABtAHUAbAB0AGkAcABsAGUAIABvAGYAIAAzACkALgBcAG4AXABuACAAIAAgAFIAZQB0AHUAcgBuAHMAOgBcAG4AIAAgACAAQQAgAHQAZQB4AHQAIABzAHQAcgBpAG4AZwAgAGkAbgAgAHQAaABlACAAZgBvAHIAbQAgAG8AZgAgAGAAWAAuAFgAWABFACsAWQBZAGAALAAgAHcAaABlAHIAZQAgAGAAWQBZAGAAIABpAHMAIABhACAAbQB1AGwAdABpAHAAbABlACAAbwBmACAAMwAuAFwAbgBcAG4AIAAgACAAUABhAHIAYQBtAGUAdABlAHIAcwA6AFwAbgAgACAAIAAtACAAaQBuAHAAdQB0ACAAKAByAGUAcQB1AGkAcgBlAGQAKQA6ACAAQQAgAG4AdQBtAGUAcgBpAGMAIAB2AGEAbAB1AGUAIAB0AG8AIABjAG8AbgB2AGUAcgB0AC4AXABuACAAIAAgAC0AIABwAHIAZQBjACAAKABvAHAAdABpAG8AbgBhAGwAKQA6ACAATgB1AG0AYgBlAHIAIABvAGYAIABkAGUAYwBpAG0AYQBsACAAcABsAGEAYwBlAHMAIAB0AG8AIABzAGgAbwB3ACAAKABkAGUAZgBhAHUAbAB0ACAAPQAgADIAKQBcAG4AXABuACAAIAAgAE4AbwB0AGUAcwA6AFwAbgAgACAAIAAtACAAVQBzAGUAZgB1AGwAIABmAG8AcgAgAHMAYwBpAGUAbgB0AGkAZgBpAGMALwBlAG4AZwBpAG4AZQBlAHIAaQBuAGcAIABmAGkAZQBsAGQAcwAgAHcAaABlAHIAZQAgAFMASQAtAHAAcgBlAGYAaQB4ACAAYQBsAGkAZwBuAG0AZQBuAHQAIABtAGEAdAB0AGUAcgBzAC4AXABuACAAIAAgAC0AIABTAGkAbQBpAGwAYQByACAAdABvACAAcwBjAGkAZQBuAHQAaQBmAGkAYwAgAG4AbwB0AGEAdABpAG8AbgAsACAAYgB1AHQAIABlAHgAcABvAG4AZQBuAHQAIABpAHMAIABjAG8AbgBzAHQAcgBhAGkAbgBlAGQAIAB0AG8AIABtAHUAbAB0AGkAcABsAGUAcwAgAG8AZgAgADMALgBcAG4AIAAgACAALQAgAEEAdQB0AG8AbQBhAHQAaQBjAGEAbABsAHkAIAByAG8AdQBuAGQAcwAgAHQAaABlACAAbQBhAG4AdABpAHMAcwBhACAAdABvACAAdABoAGUAIABzAHAAZQBjAGkAZgBpAGUAZAAgAHAAcgBlAGMAaQBzAGkAbwBuAC4AXABuAFwAbgAgACAAIABFAHgAYQBtAHAAbABlADoAXABuACAAIAAgACAAIABOAFUATQBOAE8AVABFAF8ARQBOAEcASQBOAEUARQBSAEkATgBHACgAMQAyADMANAA1ADYANwApAFwAbgAgACAAIAAgACAAkiEgAFwAIgAxAC4AMgAzAEUAKwAwADYAXAAiAFwAbgBcAG4AIAAgACAAIAAgAE4AVQBNAE4ATwBUAEUAXwBFAE4ARwBJAE4ARQBFAFIASQBOAEcAKAAwAC4AMAAwADAANAA3ADgALAAgADMAKQBcAG4AIAAgACAAIAAgAJIhIABcACIANAA3ADgALgAwADAAMABFAC0AMAA2AFwAIgBcAG4AKgAvAFwAbgBcAG4ATgBVAE0ATgBPAFQARQBfAEUATgBHAEkATgBFAEUAUgBJAE4ARwAgAD0AIABMAEEATQBCAEQAQQAoAGkAbgBwAHUAdAAsACAAWwBwAHIAZQBjAF0ALABcAG4AIAAgACAAIABMAEUAVAAoAFwAbgAgACAAIAAgACAAIAAgACAALwAvACAAUAByAGUAYwBpAHMAaQBvAG4AIABkAGUAZgBhAHUAbAB0ACAAdABvACAAMgAgAGkAZgAgAG8AbQBpAHQAdABlAGQAXABuACAAIAAgACAAIAAgACAAIABwAHIAZQBjACwAIABJAEYAKABJAFMATwBNAEkAVABUAEUARAAoAHAAcgBlAGMAKQAsACAAMgAsACAAcAByAGUAYwApACwAXABuAFwAbgAgACAAIAAgACAAIAAgACAALwAvACAAQwBvAG0AcAB1AHQAZQAgAGUAeABwAG8AbgBlAG4AdAAgACgAcgBvAHUAbgBkAGUAZAAgAGQAbwB3AG4AIAB0AG8AIABuAGUAYQByAGUAcwB0ACAAbQB1AGwAdABpAHAAbABlACAAbwBmACAAMwApAFwAbgAgACAAIAAgACAAIAAgACAAcABvAHcAZQByACwAIABUAFIAVQBOAEMAKABMAE8ARwAxADAAKABBAEIAUwAoAGkAbgBwAHUAdAApACkAKQAsAFwAbgAgACAAIAAgACAAIAAgACAAZABpAHYAaQBzAG8AcgAsACAAcABvAHcAZQByACAALQAgAE0ATwBEACgAcABvAHcAZQByACwAIAAzACkALABcAG4AXABuACAAIAAgACAAIAAgACAAIAAvAC8AIABOAG8AcgBtAGEAbABpAHoAZQAgAGkAbgBwAHUAdAAgAHYAYQBsAHUAZQAgAHQAbwAgAG0AYQBuAHQAaQBzAHMAYQBcAG4AIAAgACAAIAAgACAAIAAgAGEAZABqAHUAcwB0ACwAIAAxADAAIABeACAAZABpAHYAaQBzAG8AcgAsAFwAbgAgACAAIAAgACAAIAAgACAAdgBhAGwAdQBlACwAIABSAE8AVQBOAEQAKABpAG4AcAB1AHQAIAAvACAAYQBkAGoAdQBzAHQALAAgAHAAcgBlAGMAKQAsAFwAbgBcAG4AIAAgACAAIAAgACAAIAAgAC8ALwAgAEYAbwByAG0AYQB0ACAAcwB1AGYAZgBpAHgAIABhAHMAIABFACsAMAAzACAAcwB0AHkAbABlAFwAbgAgACAAIAAgACAAIAAgACAAcwB1AGYAZgAsACAAXAAiAEUAXAAiACAAJgAgAEkARgAoAGQAaQB2AGkAcwBvAHIAIAA+AD0AIAAwACwAIABcACIAKwBcACIALAAgAFwAIgBcACIAKQAgACYAIABUAEUAWABUACgAZABpAHYAaQBzAG8AcgAsACAAXAAiADAAMABcACIAKQAsAFwAbgBcAG4AIAAgACAAIAAgACAAIAAgAC8ALwAgAEMAbwBtAHAAbwBzAGUAIABmAG8AcgBtAGEAdAB0AGUAZAAgAG8AdQB0AHAAdQB0AFwAbgAgACAAIAAgACAAIAAgACAAbwB1AHQAcAB1AHQALAAgAFQARQBYAFQAKAB2AGEAbAB1AGUALAAgAFwAIgAwAC4AXAAiACAAJgAgAFIARQBQAFQAKABcACIAMABcACIALAAgAHAAcgBlAGMAKQApACAAJgAgAHMAdQBmAGYALABcAG4AIAAgACAAIAAgACAAIAAgAG8AdQB0AHAAdQB0AFwAbgAgACAAIAAgACkAXABuACkAOwBcAG4AXABuAC8AKgAgAE4AVQBNAE4ATwBUAEUAXwBNAEEARwBOAEkAVABVAEQARQBcAG4AIAAgACAAUAB1AHIAcABvAHMAZQA6AFwAbgAgACAAIABDAG8AbgB2AGUAcgB0AHMAIABhACAAbgB1AG0AZQByAGkAYwAgAHYAYQBsAHUAZQAgAGkAbgB0AG8AIABhACAAaAB1AG0AYQBuAC0AcgBlAGEAZABhAGIAbABlACAAcwB0AHIAaQBuAGcAIAB1AHMAaQBuAGcAXABuACAAIAAgAG0AZQB0AHIAaQBjACAAUwBJAC0AcwB0AHkAbABlACAAcwB1AGYAZgBpAHgAZQBzACAAKABlAC4AZwAuACwAIABcACIAawBcACIALAAgAFwAIgBNAFwAIgAsACAAXAAiAEcAXAAiACkALgBcAG4AXABuACAAIAAgAFAAYQByAGEAbQBlAHQAZQByAHMAOgBcAG4AIAAgACAALQAgAGkAbgBwAHUAdAAgACgAcgBlAHEAdQBpAHIAZQBkACkAOgAgAE4AdQBtAGUAcgBpAGMAIAB2AGEAbAB1AGUAIAB0AG8AIABjAG8AbgB2AGUAcgB0AC4AXABuACAAIAAgAC0AIABkAGUAYwBwAHIAZQBjACAAKABvAHAAdABpAG8AbgBhAGwAKQA6ACAARABlAGMAaQBtAGEAbAAgAHAAcgBlAGMAaQBzAGkAbwBuACAAdABvACAAcgBvAHUAbgBkACAAdABoAGUAIABvAHUAdABwAHUAdAAgACgAZABlAGYAYQB1AGwAdAAgAD0AIAAzACkALgBcAG4AXABuACAAIAAgAFIAZQB0AHUAcgBuAHMAOgBcAG4AIAAgACAAQQAgAHMAdAByAGkAbgBnACAAdwBpAHQAaAAgAHQAaABlACAAbgB1AG0AYgBlAHIAIABzAGMAYQBsAGUAZAAgAGEAbgBkACAAcwB1AGYAZgBpAHgAZQBkACAAdQBzAGkAbgBnACAAYwBvAG0AbQBvAG4AIABtAGUAdAByAGkAYwAgAG4AbwB0AGEAdABpAG8AbgAuAFwAbgBcAG4AIAAgACAATgBvAHQAZQBzADoAXABuACAAIAAgAC0AIABTAHUAcABwAG8AcgB0AHMAIABzAGMAYQBsAGkAbgBnACAAdQBwACAAdABvACAAMQAwAF4AMwAwAC4AXABuACAAIAAgAC0AIABTAHUAZgBmAGkAeAAgAHAAcgBvAGcAcgBlAHMAcwBpAG8AbgA6ACAAXAAiAGsAXAAiACwAIABcACIATQBcACIALAAgAFwAIgBHAFwAIgAsACAAXAAiAFQAXAAiACwAIABcACIAUABcACIALAAgAFwAIgBFAFwAIgAsACAAXAAiAFoAXAAiACwAIABcACIAWQBcACIALAAgAFwAIgBSAFwAIgAsACAAXAAiAFEAXAAiAFwAbgAgACAAIAAtACAAVgBhAGwAdQBlAHMAIAB1AG4AZABlAHIAIAAxADAAXgAzACAAcgBlAHQAdQByAG4AIAB0AGgAZQAgAHIAYQB3ACAAdgBhAGwAdQBlACAAdwBpAHQAaAAgAGEAIABkAGEAcwBoADoAIABgAFwAIgAUIFwAIgBgAFwAbgAgACAAIAAtACAARQB4AHQAcgBlAG0AZQBsAHkAIABsAGEAcgBnAGUAIAB2AGEAbAB1AGUAcwAgAGEAcgBlACAAYwBhAHAAcABlAGQAIABhAHQAIAB0AGgAZQAgAGgAaQBnAGgAZQBzAHQAIABrAG4AbwB3AG4AIABzAHUAZgBmAGkAeAAuAFwAbgAgACAAIAAtACAARABlAGMAaQBtAGEAbAAgAHIAbwB1AG4AZABpAG4AZwAgAGkAcwAgAG8AcAB0AGkAbwBuAGEAbAAgAGEAbgBkACAAZABlAGYAYQB1AGwAdABzACAAdABvACAAMwAgAGQAaQBnAGkAdABzAC4AXABuAFwAbgAgACAAIABFAHgAYQBtAHAAbABlAHMAOgBcAG4AIAAgACAAIAAgAE4AVQBNAE4ATwBUAEUAXwBNAEEARwBOAEkAVABVAEQARQAoADEAMgAzADQANQA2ACkAIAAgACAAIAAgACAAIAAgACAAkiEgAFwAIgAxADIAMwAuADQANQA2ACAAawBcACIAXABuACAAIAAgACAAIABOAFUATQBOAE8AVABFAF8ATQBBAEcATgBJAFQAVQBEAEUAKAA5ADgANwA2ADUANAAzADIAMQAsACAAMgApACAAIAAgAJIhIABcACIAOQA4ADcALgA2ADUAIABNAFwAIgBcAG4AIAAgACAAIAAgAE4AVQBNAE4ATwBUAEUAXwBNAEEARwBOAEkAVABVAEQARQAoADAALgAwADEANQApACAAIAAgACAAIAAgACAAIAAgACAAkiEgAFwAIgAwAC4AMAAxADUAIAAUIFwAIgBcAG4AKgAvAFwAbgBcAG4ATgBVAE0ATgBPAFQARQBfAE0AQQBHAE4ASQBUAFUARABFACAAPQAgAEwAQQBNAEIARABBACgAaQBuAHAAdQB0ACwAIABbAGQAZQBjAHAAcgBlAGMAXQAsAFwAbgAgACAAIAAgAEwARQBUACgAXABuACAAIAAgACAAIAAgACAAIABtAGEAeAAsACAAMwAwACwAIAAgAC8ALwAgAE0AYQB4AGkAbQB1AG0AIABwAG8AdwBlAHIAIABvAGYAIAB0AGUAbgAgAHQAbwAgAGEAdgBvAGkAZAAgAG8AdgBlAHIAZgBsAG8AdwBcAG4AIAAgACAAIAAgACAAIAAgAGQAZQBjAHAAcgBlAGMALAAgAEkARgAoAEkAUwBPAE0ASQBUAFQARQBEACgAZABlAGMAcAByAGUAYwApACwAIAAzACwAIABkAGUAYwBwAHIAZQBjACkALAAgACAALwAvACAARABlAGYAYQB1AGwAdAAgAHAAcgBlAGMAaQBzAGkAbwBuAFwAbgAgACAAIAAgACAAIAAgACAAaQBuAHAAdQB0ACwAIABBAEIAUwAoAGkAbgBwAHUAdAApACwAIAAgAC8ALwAgAEEAYgBzAG8AbAB1AHQAZQAgAHYAYQBsAHUAZQAgAGYAbwByACAAbQBhAGcAbgBpAHQAdQBkAGUAIABjAGEAbABjAHUAbABhAHQAaQBvAG4AXABuAFwAbgAgACAAIAAgACAAIAAgACAALwAvACAAQwBhAGwAYwB1AGwAYQB0AGUAIAB0AGgAZQAgAG8AcgBkAGUAcgAgAG8AZgAgAG0AYQBnAG4AaQB0AHUAZABlAFwAbgAgACAAIAAgACAAIAAgACAAcABvAHcAZQByACwAIABUAFIAVQBOAEMAKABMAE8ARwAoAGkAbgBwAHUAdAApACkALABcAG4AIAAgACAAIAAgACAAIAAgAGMAYQB0AGUAZwBvAHIAeQAsACAATQBPAEQAKABwAG8AdwBlAHIALAAgADMAKQAsAFwAbgAgACAAIAAgACAAIAAgACAAZABpAHYAaQBzAG8AcgAsACAAUwBXAEkAVABDAEgAKABjAGEAdABlAGcAbwByAHkALAAgADAALAAgAHAAbwB3AGUAcgAsACAAMQAsACAAcABvAHcAZQByACAALQAgADEALAAgADIALAAgAHAAbwB3AGUAcgAgAC0AIAAyACkALABcAG4AIAAgACAAIAAgACAAIAAgAGEAZABqAHUAcwB0ACwAIABJAEYAKABkAGkAdgBpAHMAbwByACAAPAA9ACAAbQBhAHgALAAgADEAMAAgAF4AIABkAGkAdgBpAHMAbwByACwAIAAxADAAIABeACAAbQBhAHgAKQAsAFwAbgAgACAAIAAgACAAIAAgACAAXABuACAAIAAgACAAIAAgACAAIAAvAC8AIABTAGMAYQBsAGUAZAAgAHYAYQBsAHUAZQAgAGEAbgBkACAAcwB1AGYAZgBpAHgAXABuACAAIAAgACAAIAAgACAAIAB2AGEAbAB1AGUALAAgAGkAbgBwAHUAdAAgAC8AIABhAGQAagB1AHMAdAAsAFwAbgAgACAAIAAgACAAIAAgACAAcwB1AGYAZgAsACAAUwBXAEkAVABDAEgAKABcAG4AIAAgACAAIAAgACAAIAAgACAAIAAgACAAZABpAHYAaQBzAG8AcgAsAFwAbgAgACAAIAAgACAAIAAgACAAIAAgACAAIAAwACwAIABcACIAFCBcACIALAAgADMALAAgAFwAIgBrAFwAIgAsACAANgAsACAAXAAiAE0AXAAiACwAIAA5ACwAIABcACIARwBcACIALAAgADEAMgAsACAAXAAiAFQAXAAiACwAXABuACAAIAAgACAAIAAgACAAIAAgACAAIAAgADEANQAsACAAXAAiAFAAXAAiACwAIAAxADgALAAgAFwAIgBFAFwAIgAsACAAMgAxACwAIABcACIAWgBcACIALAAgADIANAAsACAAXAAiAFkAXAAiACwAIAAyADcALAAgAFwAIgBSAFwAIgAsAFwAbgAgACAAIAAgACAAIAAgACAAIAAgACAAIAAzADAALAAgAFwAIgBRAFwAIgAsACAAXAAiAD8APwBcACIAXABuACAAIAAgACAAIAAgACAAIAApACwAXABuACAAIAAgACAAIAAgACAAIABcAG4AIAAgACAAIAAgACAAIAAgAC8ALwAgAEYAaQBuAGEAbAAgAG8AdQB0AHAAdQB0AFwAbgAgACAAIAAgACAAIAAgACAAbwB1AHQAcAB1AHQALAAgAEYASQBYAEUARAAoAHYAYQBsAHUAZQAsACAAZABlAGMAcAByAGUAYwAsACAAVABSAFUARQApACAAJgAgAFwAIgAgAFwAIgAgACYAIABzAHUAZgBmACwAXABuACAAIAAgACAAIAAgACAAIABvAHUAdABwAHUAdABcAG4AIAAgACAAIAApAFwAbgApADsAXABuAFwAbgAvACoAIABOAFUATQBOAE8AVABFAF8AUABPAFcARQBSAFQAQQBHADoAXABuACAAIAAgAFAAdQByAHAAbwBzAGUAOgBcAG4AIAAgACAAUgBlAHQAdQByAG4AcwAgAG8AbgBsAHkAIAB0AGgAZQAgAGUAeABwAG8AbgBlAG4AdAAgAHQAYQBnACAAcABvAHIAdABpAG8AbgAgAG8AZgAgAGEAIABuAHUAbQBiAGUAcgAZIHMAIABzAGMAaQBlAG4AdABpAGYAaQBjACAAbwByACAAcABvAHcAZQByAC0AbwBmAC0AdABlAG4AIABuAG8AdABhAHQAaQBvAG4ALgBcAG4AIAAgACAAVABoAGkAcwAgAGQAbwBlAHMAIABuAG8AdAAgAGkAbgBjAGwAdQBkAGUAIAB0AGgAZQAgAGMAbwBlAGYAZgBpAGMAaQBlAG4AdAAgABQgIABqAHUAcwB0ACAAdABoAGUAIABzAHkAbQBiAG8AbABpAGMAIAByAGUAcAByAGUAcwBlAG4AdABhAHQAaQBvAG4AIABvAGYAIAB0AGgAZQAgAHMAYwBhAGwAZQAuAFwAbgBcAG4AIAAgACAAUgBlAHQAdQByAG4AcwA6AFwAbgAgACAAIAAtACAARQBpAHQAaABlAHIAIABhAG4AIABcACIARQArAG4AbgBcACIAIAB0AGEAZwAgAG8AcgAgAGEAIABcACIAMQAwAF4AbgBcACIAIABsAGEAYgBlAGwAIAByAGUAcAByAGUAcwBlAG4AdABpAG4AZwAgAHQAaABlACAAcABvAHcAZQByACAAbwBmACAAMQAwAC4AXABuAFwAbgAgACAAIABQAGEAcgBhAG0AZQB0AGUAcgBzADoAXABuACAAIAAgAC0AIABpAG4AcAB1AHQAIAAoAHIAZQBxAHUAaQByAGUAZAApADoAIABBACAAcABvAHMAaQB0AGkAdgBlACAAbgB1AG0AZQByAGkAYwAgAHYAYQBsAHUAZQAuAFwAbgAgACAAIAAtACAAbQBvAGQAZQAgACgAbwBwAHQAaQBvAG4AYQBsACkAOgBcAG4AIAAgACAAIAAgACAAIAAwACAAKABkAGUAZgBhAHUAbAB0ACkAOgAgAFwAIgBFACsAbgBuAFwAIgAgAGYAbwByAG0AYQB0ACAAKABlAC4AZwAuACwAIABcACIARQArADAAMwBcACIAKQBcAG4AIAAgACAAIAAgACAAIAAxACAAIAAgACAAIAAgACAAIAAgADoAIABcACIAMQAwAF4AbgBcACIAIABmAG8AcgBtAGEAdAAgACgAZQAuAGcALgAsACAAXAAiADEAMABeADMAXAAiACkAXABuAFwAbgAgACAAIABOAG8AdABlAHMAOgBcAG4AIAAgACAALQAgAFQAaABpAHMAIABmAHUAbgBjAHQAaQBvAG4AIABpAHMAIABpAG4AdABlAG4AZABlAGQAIABmAG8AcgAgAGwAYQBiAGUAbABpAG4AZwAsACAAZgBvAHIAbQBhAHQAdABpAG4AZwAsACAAbwByACAAYQBuAG4AbwB0AGEAdABpAG8AbgAgABQgIABuAG8AdAAgAGYAbwByACAAbQBhAHQAaAAuAFwAbgAgACAAIAAtACAAVABoAGUAIABjAG8AZQBmAGYAaQBjAGkAZQBuAHQAIAAoAG0AYQBuAHQAaQBzAHMAYQApACAAaQBzACAAbgBvAHQAIABpAG4AYwBsAHUAZABlAGQAIABpAG4AIAB0AGgAZQAgAHIAZQBzAHUAbAB0AC4AXABuACAAIAAgAC0AIABFAHEAdQBpAHYAYQBsAGUAbgB0ACAAdABvACAAZQB4AHQAcgBhAGMAdABpAG4AZwAgAHQAaABlACAAZQB4AHAAbwBuAGUAbgB0ACAAZgByAG8AbQAgAHMAYwBpAGUAbgB0AGkAZgBpAGMAIABuAG8AdABhAHQAaQBvAG4ALgBcAG4AIAAgACAALQAgAE0AbwBkAGUAIAAyACAAZgByAG8AbQAgAGUAYQByAGwAaQBlAHIAIAB2AGUAcgBzAGkAbwBuAHMAIABoAGEAcwAgAGIAZQBlAG4AIAByAGUAbQBvAHYAZQBkACAAYQBzACAAcgBlAGQAdQBuAGQAYQBuAHQAIAAoAEUAeABjAGUAbAAgAHMAdQBwAHAAbwByAHQAcwAgAGkAdAAgAHYAaQBhACAAVABFAFgAVAAoAC4ALgAuACwAIABcACIAMAAuADAAMABFACsAMAAwAFwAIgApACkAXABuAFwAbgAgACAAIABFAHgAYQBtAHAAbABlAHMAOgBcAG4AIAAgACAAIAAgAE4AVQBNAE4ATwBUAEUAXwBQAE8AVwBFAFIAVABBAEcAKAA0ADUANgAwACkAIAAgACAAIAAgACAAIACSISAAXAAiAEUAKwAwADMAXAAiAFwAbgAgACAAIAAgACAATgBVAE0ATgBPAFQARQBfAFAATwBXAEUAUgBUAEEARwAoADAALgAwADAAMQAyADMALAAgADEAKQAgAJIhIABcACIAMQAwAF4ALQAzAFwAIgBcAG4AIAAgACAAIAAgAFQARQBYAFQASgBPAEkATgAoAFwAIgBcACIALAAgACwAIABjAG8AZQBmAGYALAAgAE4AVQBNAE4ATwBUAEUAXwBQAE8AVwBFAFIAVABBAEcAKAB4ACkAKQAgAJIhIABGAHUAbABsACAAbABhAGIAZQBsAFwAbgBcAG4AIAAgACAAUwBlAGUAIABhAGwAcwBvADoAXABuACAAIAAgAC0AIABOAFUATQBOAE8AVABFAF8ATQBBAEcATgBJAFQAVQBEAEUAIAAUICAAYQBkAGQAcwAgAG0AZQB0AHIAaQBjACAAcwB1AGYAZgBpAHgAZQBzACAAbABpAGsAZQAgAFwAIgBrAFwAIgAsACAAXAAiAE0AXAAiACwAIABlAHQAYwAuAFwAbgAgACAAIAAtACAATgBVAE0ATgBPAFQARQBfAEUATgBHAEkATgBFAEUAUgBJAE4ARwAgABQgIABpAG4AYwBsAHUAZABlAHMAIAB0AGgAZQAgAGMAbwBlAGYAZgBpAGMAaQBlAG4AdAAgAHcAaQB0AGgAIABhACAAZgBpAHgAZQBkACAAZQB4AHAAbwBuAGUAbgB0AFwAbgAqAC8AXABuAFwAbgBcAG4ATgBVAE0ATgBPAFQARQBfAFAATwBXAEUAUgBUAEEARwAgAD0AIABMAEEATQBCAEQAQQAoAGkAbgBwAHUAdAAsACAAWwBtAG8AZABlAF0ALABcAG4AIAAgACAAIABMAEUAVAAoAFwAbgAgACAAIAAgACAAIAAgACAALwAvACAAPQA9AD0AIABTAGUAdAAgAGQAZQBmAGEAdQBsAHQAIABvAHUAdABwAHUAdAAgAG0AbwBkAGUAIAA9AD0APQBcAG4AIAAgACAAIAAgACAAIAAgAC8ALwAgAG0AbwBkAGUAIAA9ACAAMAAgAJIhIABcACIARQArAG4AbgBcACIAIAAoAGQAZQBmAGEAdQBsAHQAKQBcAG4AIAAgACAAIAAgACAAIAAgAC8ALwAgAG0AbwBkAGUAIAA9ACAAMQAgAJIhIABcACIAMQAwAF4AbgBcACIAXABuACAAIAAgACAAIAAgACAAIABtAG8AZABlACwAIABJAEYAKABJAFMATwBNAEkAVABUAEUARAAoAG0AbwBkAGUAKQAsACAAMAAsACAAbQBvAGQAZQApACwAXABuAFwAbgAgACAAIAAgACAAIAAgACAALwAvACAAPQA9AD0AIABDAGEAbABjAHUAbABhAHQAZQAgAHQAaABlACAAYgBhAHMAZQAtADEAMAAgAGUAeABwAG8AbgBlAG4AdAAgAD0APQA9AFwAbgAgACAAIAAgACAAIAAgACAALwAvACAAVABSAFUATgBDACgATABPAEcAMQAwACgALgAuAC4AKQApACAAZwBpAHYAZQBzACAAdQBzACAAdABoAGUAIABvAHIAZABlAHIALQBvAGYALQBtAGEAZwBuAGkAdAB1AGQAZQAgAHAAbwB3AGUAcgBcAG4AIAAgACAAIAAgACAAIAAgAG0AYQBnACwAIABUAFIAVQBOAEMAKABMAE8ARwAxADAAKABpAG4AcAB1AHQAKQApACwAXABuAFwAbgAgACAAIAAgACAAIAAgACAALwAvACAAPQA9AD0AIABGAG8AcgBtAGEAdAAgAGIAYQBzAGUAZAAgAG8AbgAgAG0AbwBkAGUAIAA9AD0APQBcAG4AIAAgACAAIAAgACAAIAAgAC8ALwAgAE0AbwBkAGUAIAAwACAAkiEgAHMAYwBpAGUAbgB0AGkAZgBpAGMAIAB0AGEAZwAgACgAZQAuAGcALgAsACAARQArADAAMwApAFwAbgAgACAAIAAgACAAIAAgACAALwAvACAATQBvAGQAZQAgADEAIACSISAAbQBhAHQAaAAgAGUAeABwAHIAZQBzAHMAaQBvAG4AIAAoAGUALgBnAC4ALAAgADEAMABeADMAKQBcAG4AIAAgACAAIAAgACAAIAAgAHIAZQBzAHUAbAB0ACwAIABTAFcASQBUAEMASAAoAFwAbgAgACAAIAAgACAAIAAgACAAIAAgACAAIABtAG8AZABlACwAXABuACAAIAAgACAAIAAgACAAIAAgACAAIAAgADAALAAgAFwAIgBFACsAXAAiACAAJgAgAFQARQBYAFQAKABtAGEAZwAsACAAXAAiADAAMABcACIAKQAsAFwAbgAgACAAIAAgACAAIAAgACAAIAAgACAAIAAxACwAIABcACIAMQAwAF4AXAAiACAAJgAgAG0AYQBnACwAXABuACAAIAAgACAAIAAgACAAIAAgACAAIAAgAFwAIgBJAG4AdgBhAGwAaQBkACAAbQBvAGQAZQBcACIAXABuACAAIAAgACAAIAAgACAAIAApACwAXABuAFwAbgAgACAAIAAgACAAIAAgACAALwAvACAAPQA9AD0AIABSAGUAdAB1AHIAbgAgAHIAZQBzAHUAbAB0ACAAPQA9AD0AXABuACAAIAAgACAAIAAgACAAIAByAGUAcwB1AGwAdABcAG4AIAAgACAAIAApAFwAbgApADsAXABuAFwAbgAiAH0AXQAsACIAcAByAG8AagBlAGMAdABOAGEAbQBlAHMAIgA6AFsAIgBSAEUAUABUAEEAUgBSAEEAWQAiACwAIgBYAEwAQwBNACIALAAiAFgAWABMAEMATQAiACwAIgBGAEkATgBEAF8AUABDAFQAIgAsACIAUABDAFQAIgAsACIATQBfAFMATwBSAFQAIgAsACIAQgBFAE4ARgBPAFIARABfAFAAUgBPAEIAQQBCAEkATABJAFQAWQAiACwAIgBCAEUATgBGAE8AUgBEACIALAAiAFIAQQBOAEQAQgBFAE4ARgBPAFIARABfAFMASQBOAEcATABFACIALAAiAFIAQQBOAEQAQgBFAE4ARgBPAFIARAAiACwAIgBMAEkAUwBUAF8ARABJAFYASQBTAE8AUgBTACIALAAiAFMARQBFAEQARQBEAF8AVgBBAEwAVQBFACIALAAiAFQAQQBCAEwARQBfAE8AVQBUACIALAAiAEgARQBBAEQARQBSAFMAXwBPAFUAVAAiACwAIgBDAE8AUABZAF8AUgBFAFYARQBSAFMARQAiACwAIgBMAEUAVABUAEUAUgBfAEcAUgBBAEQARQAiACwAIgBTAFAATABJAFQARgBSAEEAQwBUAEkATwBOACIALAAiAEYASQBMAFQARQBSAFcASQBMAEQAIgAsACIAQwBPAE4AVABBAEkATgBTACIALAAiAFAAUABTAEMAXwBHAEUAVABMAEEAUwBUACIALAAiAFAAUABTAEMAXwBOAEEATQBFAE8ATgBMAFkAIgAsACIAUABQAFMAQwBfAFMAUABMAEkAVABOAEEATQBFACIALAAiAFMAUABMAEkAVABOAEEATQBFACIALAAiAFIAQQBOAEQAUwBUAFIASQBOAEcAIgAsACIAUgBBAE4ARABEAEkARwBJAFQAUwAiACwAIgBSAEEATgBEAEcAUgBPAFUAUAAiACwAIgBGAFIAQQBDAF8ARABJAFYAIgAsACIAVABFAFgAVABfAEMATwBOAEQARQBOAFMARQAiACwAIgBNAEUAVABBAEwAUwAiACwAIgBTAFUATQBfAEEAUAAiACwAIgBCAFIAQQBDAEsARQBUAFMAXwBUAEEAUgBHAEUAVAAiACwAIgBCAFIAQQBDAEsARQBUAFMAXwBBAFIAUgBBAFkAIgAsACIARgBPAFIATQBBAFQAXwBBAFMAXwBMAEkAUwBUACIALAAiAEwASQBTAFQAXwBXAEUASQBHAEgAVABTACIALAAiAEkATgBUAE0AQQBOAFQAIgAsACIARgBSAEEAQwAiACwAIgBUAEUATQBQAF8AQwBGACIALAAiAFQARQBNAFAAXwBGAEMAIgAsACIASABBAFMAQwBBAFAAIgAsACIATQBFAFQAQQBMAEwASQBDAF8ATQBFAEEATgAiACwAIgBGAE8ATwBUAEkATgBDAEgAIgAsACIARgBPAE8AVABfAEkATgBDAEgAIgAsACIAQgBFAFMAVABGAEkAVAAiACwAIgBJAE4AQwBIAF8AQwBPAE4AVgBFAFIAVAAiACwAIgBSAEEATgBHAEUAXwBQAEUAUgBDAEUATgBUAF8ATwBGAF8AVgBBAEwAVQBFACIALAAiAFIAQQBOAEcARQBfAFYAQQBMAFUARQBfAE8ARgBfAFAARQBSAEMARQBOAFQAIgAsACIAUgBBAE4ARwBFAF8AUABFAFIAQwBFAE4AVABfAFQAUgBBAE4AUwBGAEUAUgAiACwAIgBSAEUAQwBJAFAAIgAsACIAUgBPAE8AVABfAEQASQBHAEkAVABBAEwAIgAsACIAUgBPAE8AVABfAEQASQBHAEkAVABBAEwAXwBTAFUAQgAiACwAIgBTAFUATQBEAEkARwBJAFQAUwAiACwAIgBSAE8ATwBUAF8ATgBVAE0ARQBSAE8AIgAsACIAUwBVAE0AXwBJAE4AVABFAEcARQBSAFMAIgAsACIAUABPAEwAWQBHAE8ATgBBAEwAIgAsACIAUwBVAE0AXwBSAEEATgBHAEUAIgAsACIAUwBFAFEAVQBFAE4AQwBFAF8AUgBFAFAARQBBAFQAIgAsACIAUwBFAFEAVQBFAE4AQwBFAF8AQgBFAFQAVwAiACwAIgBTAEUAUQBVAEUATgBDAEUAXwBCAEUAVABXAEUARQBOACIALAAiAFMARQBRAFUARQBOAEMARQBfAEIAVABXAE4AIgAsACIARwBFAFQARABJAEcASQBUAFMAIgAsACIARwBFAFQAQwBIAEEAUgBTACIALAAiAE4AVQBNAF8ATwBOAEwAWQAiACwAIgBDAEgAQQBSAFMAXwBCAEUAVABXAEUARQBOACIALAAiAFQARQBYAFQAQgBFAFQAVwBFAEUATgAiACwAIgBTAFAATABJAFQAUwBUAFIASQBOAEcAIgAsACIAUwBQAEwASQBUAEQASQBHAEkAVABTACIALAAiAEMATwBVAE4AVABfAEkATgBTAFQAQQBOAEMARQAiACwAIgBGAE8AUgBNAF8AVABFAFgAVAAiACwAIgBTAFQAUgBJAFAAXwBDAEgAQQBSAFMAIgAsACIARgBPAFIATQBUAEUAWABUACIALAAiAEcARQBUAEMARQBMAEwAIgAsACIAWQBBAEgAVABaAEUARQAiACwAIgBEAF8ATgBfAEQAIgAsACIARABOAEQAIgAsACIAUgBBAE4ARABVAE4ASQBRAFUARQAiACwAIgBOAFUATQBNAEEARwAiACwAIgBOAFUATQBQAE8AVwBSACIALAAiAEUATgBHAE4ATwBUAEUAIgAsACIASQBOAEMAUgBEAEUAQwBSACIALAAiAFAATwBMAFkAUgBPAE8AVABTACIALAAiAEEAUABQAFIATwBYAEkATQBBAFQARQBfAEYAUgBBAEMAVABJAE8ATgAiACwAIgBUAE8ARgBSAEEAQwAiACwAIgBUAE8AXwBNAEEATgBUAEkAUwBTAEEAIgAsACIAVgBFAE4ATgAiACwAIgBWAF8AUgBFAEwAQwBPAE0AUAAiACwAIgBWAF8ASQBOAFQARQBSAFMARQBDAFQAIgAsACIAVgBfAFMAWQBNAEQASQBGAEYAIgAsACIAVgBfAFUATgBJAE8ATgAiACwAIgBJAFMASQBOACIALAAiAEwASQBTAFQAXwBEAFUAUABFAFMAIgAsACIARABVAFAARQBMAEkAUwBUACIALAAiAEMATwBVAE4AVABFAEEAQwBIACIALAAiAFUATgBJAFEAVQBFAFMATwBSAFQAIgAsACIATQBJAE4AVQBUAEUAUwBfAE0AUwAiACwAIgBNAEkATgBVAFQARQBTAF8ASABNAFMAIgAsACIATQBJAE4AVQBUAEUAUwBfAEQASABNAFMAIgAsACIATQBJAE4AVQBUAEUAUwBfAFkARABIAE0AUwAiACwAIgBTAEUAQwBPAE4ARABTAF8ATQBTACIALAAiAFMARQBDAE8ATgBEAFMAXwBIAE0AUwAiACwAIgBTAEUAQwBPAE4ARABTAF8ARABIAE0AUwAiACwAIgBTAEUAQwBPAE4ARABTAF8AWQBEAEgATQBTACIALAAiAEQAQQBZAFMAXwBEAEgATQBTACIALAAiAEgATwBVAFIAUwBfAEQARQBDAEgATQBTACIALAAiAEgATwBVAFIAUwBfAEgATQBTACIALAAiAEQAQQBZAFMAXwBZAEQASABNAFMAIgAsACIASABPAFUAUgBTAF8ARABIAE0AUwAiACwAIgBIAE8AVQBSAFMAXwBZAEQASABNAFMAIgAsACIAWQBFAEEAUgBTAF8AWQBEAEgATQBTACIALAAiAFkARQBBAFIAUwBfAEQASABNAFMAIgAsACIARABBAFQARQBfAFQATwBfAEgARQAiACwAIgBEAEEAVABFAF8AQgBQAFQATwBDAEUAIgAsACIARABBAFQARQBfAEMARQBUAE8AQgBQACIALAAiAEgATwBVAFIAUwBfAEYAUgBPAE0ARABFAEMAIgAsACIASABPAFUAUgBTAF8AVABPAEQARQBDACIALAAiAEQAQQBUAEUAXwBGAFIATwBNAFQARQBYAFQAIgAsACIARABBAFQARQBfAEcARQBUAFYAQQBMACIALAAiAEQAQQBUAEUAXwBUAE8AVABFAFgAVAAiACwAIgBTAEUAUgBJAEEATABUAE8ARABBAFQARQAiACwAIgBUAEkATQBFAF8ARgBSAE8ATQBNAEkATAAiACwAIgBUAEkATQBFAF8AVABPAEQARQBDACIALAAiAFQASQBNAEUAXwBUAE8ATQBJAEwAIgAsACIAVABJAE0ARQBfAEQASQBGAEYAIgAsACIAUwBUAEEAVABTAF8ATQBJAE4ATQBBAFgAIgAsACIAUwBUAEEAVABTAF8AUwBQAEEATgAiACwAIgBTAFQAQQBUAFMATABJAFMAVAAiACwAIgBRAFUAQQBOAFQASQBMAEUAUwAiACwAIgBTAFQAQQBUAFMAXwBUAEkATABFAFMAIgAsACIAVABFAFMAVAAiACwAIgBTAFQAQQBUAFMAXwBQAEMAVABfAEQASQBGACIALAAiAFMAVABBAFQAUwBfAFAAQwBUAF8ARQBSAFIAIgAsACIAUwBUAEEAVABTAF8AUABDAFQAXwBDAEgARwAiACwAIgBTAFQAQQBUAFMAXwBTAFQARABFAFIAUgAiACwAIgBBAFUALgBLAE0AIgAsACIAQQBVAC4ATQAiACwAIgBEAEEAWQAuAEUAUABIAC4AUwAiACwAIgBEAEEAWQAuAFMASQBEAC4AUwAiACwAIgBEAEEAWQAuAFMAVABMAC4AUwAiACwAIgBNAE8ATwBOAC4ATwBSAEIALgBLAE0AIgAsACIATQBPAE8ATgAuAE8AUgBCAC4AQQBVACIALAAiAE0ATwBPAE4ALgBPAFIAQgAuAFQAIgAsACIATQBPAE8ATgAuAFAALgBTAEkARAAiACwAIgBNAE8ATwBOAC4AUAAuAFMAWQBOACIALAAiAFMAVQBOAC4AUgAuAEsATQAiACwAIgBTAFUATgAuAFIALgBBAFUAIgAsACIAWQBSAC4ARwBSAEcALgBEACIALAAiAFkAUgAuAEcAUgBHAC4AUwAiACwAIgBZAFIALgBKAFUATAAuAEQAIgAsACIAWQBSAC4ASgBVAEwALgBTACIALAAiAFkAUgAuAFMASQBEAC4ARAAiACwAIgBZAFIALgBTAEkARAAuAFMAIgAsACIAWQBSAC4AVABSAFAALgBEACIALAAiAFkAUgAuAFQAUgBQAC4AUwAiACwAIgBZAFIALgBDAEEATAAuAEQAIgAsACIAWQBSAC4AQwBBAEwALgBTACIALAAiAEUAQQBSAFQASAAuAFIALgBLAE0AIgAsACIARQBBAFIAVABIAC4ATQAuAEcAIgAsACIARQBBAFIAVABIAC4ARAAuAEcAIgAsACIATQBPAE8ATgAuAFIALgBLAE0AIgAsACIATQBPAE8ATgAuAFIALgBUACIALAAiAE0ATwBPAE4ALgBNAC4AVAAiACwAIgBNAE8ATwBOAC4ARAAuAFQAIgAsACIATQBPAE8ATgAuAEQALgBHACIALAAiAE0ATwBPAE4ALgBHAC4AVAAiACwAIgBFAEEAUgBUAEgALgBNAC4AUwAiACwAIgBTAFUATgAuAE0ALgBUACIALAAiAEUAQQBSAFQASAAuAEUAQwBDACIALAAiAE0ATwBPAE4ALgBFAEMAQwAiACwAIgBFAEEAUgBUAEgALgBPAEIATAAiACwAIgBEAEEAWQAuAFMASQBEAC4ASAAiACwAIgBEAEEAWQAuAFMAVABMAC4ASAAiACwAIgBEAEEAWQAuAEUAUABIAC4ASAAiACwAIgBMAEkARwBIAFQALgBNACIALAAiAEwASQBHAEgAVABZAFIALgBNACIALAAiAEwASQBHAEgAVABZAFIALgBBAFUAIgAsACIAUwBVAE4ALgBNAC4ASwBHACIALAAiAEUAQQBSAFQASAAuAE0ALgBLAEcAIgAsACIARABBAFkALgBFAFAASAAuAE0AIgAsACIASABPAFUAUgAuAEUAUABIAC4AUwAiACwAIgBGAEEAQwBUAE8AUgBTACIALAAiAE8AUgBCAF8AWABJAE4ARwAiACwAIgBBAFgASQBTAF8AUABFAFIASQBPAEQAIgAsACIAUABFAFIASQBPAEQAXwBBAFgASQBTACIALAAiAFMAWQBOAE8ARABJAEMAIgAsACIAUwBNAEEATABMAEEATgBHAEwARQAiACwAIgBPAFIAQgBfAEEAWABJAFMAIgAsACIATwBSAEIAXwBTAFUATQBfAE0AQQBTAFMARQBTACIALAAiAE8AUgBCAF8AUABFAFIASQBPAEQAIgAsACIARQBMAEwASQBQAFMARQBfAEUAQwBDACIALAAiAEUATABMAEkAUABTAEUAXwBTAE0ASQBOAE8AUgAiACwAIgBEAEUARwBfAEQATQBTACIALAAiAEQARQBHAF8ARABFAEMAXwBEAE0AUwAiACwAIgBEAEUARwBfAEQATQBTAF8ARABFAEMAIgAsACIAUgBPAE8AVAAiACwAIgBBAHMAdAByAG8ALgBBAFMAVABSAE8AXwBIAEEAQgBfAEkATgBEAEUAWAAiACwAIgBBAHMAdAByAG8ALgBBAFMAVABSAE8AXwBTAFAARQBDAFQAUgBBAEwAXwBEAEkAUwBUAFIASQBCAFUAVABJAE8ATgAiACwAIgBBAHMAdAByAG8ALgBBAFMAVABSAE8AXwBDAEEATABDAF8AVABFAE0AUAAiACwAIgBBAHMAdAByAG8ALgBBAFMAVABSAE8AXwBUAFkAUABFAF8ARgBSAE8ATQBfAFQARQBNAFAAIgAsACIAQQBzAHQAcgBvAC4AQQBTAFQAUgBPAF8ARABJAFMAUABMAEEAWQBfAFMAUABFAEMAVABSAEEATAAiACwAIgBBAHMAdAByAG8ALgBBAFMAVABSAE8AXwBTAFQAQQBSAF8AQQBUAFQAUgBJAEIAVQBUAEUAUwAiACwAIgBBAHMAdAByAG8ALgBBAFMAVABSAE8AXwBIAEEAQgBJAFQAQQBCAEwARQBfAFoATwBOAEUAUwAiACwAIgBBAHMAdAByAG8ALgBOAEEAUwBUAFIATwBfAEgAQQBCAEkAVABBAEIATABFAF8AWgBPAE4ARQBTACIALAAiAEEAcwB0AHIAbwAuAEEAUwBUAFIATwBfAFMAVABBAFIAXwBEAEUATgBTAEkAVABZAF8AVgBPAEwAVQBNAEUAIgAsACIAQQBzAHQAcgBvAC4AQQBTAFQAUgBPAF8AUABMAEEATgBFAFQAXwBNAEUAVABSAEkAQwBTAF8AUwBBAEYARQBUAFkAIgAsACIAQQBzAHQAcgBvAC4AQQBTAFQAUgBPAF8AUABMAEEATgBFAFQAXwBNAEUAVABSAEkAQwBTACIALAAiAEEAcwB0AHIAbwAuAEEAUwBUAFIATwBfAFMAWQBOAE8ARABJAEMAXwBTAE8ATABWAEUAUgAiACwAIgBBAHMAdAByAG8ALgBBAFMAVABSAE8AXwBTAFkATgBPAEQASQBDAF8AUABRACIALAAiAEEAcwB0AHIAbwAuAEEAUwBUAFIATwBfAFMAWQBOAE8ARABJAEMAXwBQAFMAIgAsACIAQQBzAHQAcgBvAC4AQQBTAFQAUgBPAF8AUwBZAE4ATwBEAEkAQwBfAFEAUwAiACwAIgBBAHMAdAByAG8ALgBBAFMAVABSAE8AXwBBAFAAUABBAFIARQBOAFQAXwBTAE8ATABBAFIAXwBTAEkAWgBFACIALAAiAEEAcwB0AHIAbwAuAEEAUwBUAFIATwBfAE8AUgBCAEkAVABfAEMATwBOAEYASQBHAFUAUgBBAFQASQBPAE4AXwBJAE4ARABFAFgAIgAsACIAQQBzAHQAcgBvAC4AQQBTAFQAUgBPAF8AUwBQAEgARQBSAEkAQwBBAEwAXwBUAE8AXwBDAEEAUgBUAEUAUwBJAEEATgAiACwAIgBBAHMAdAByAG8ALgBBAFMAVABSAE8AXwBDAEEAUgBUAEUAUwBJAEEATgBfAFQATwBfAFMAUABIAEUAUgBJAEMAQQBMACIALAAiAEEAcwB0AHIAbwAuAEEAUwBUAFIATwBfAE8AUgBCAEkAVABfAEEAWABJAFMAIgAsACIAQQBzAHQAcgBvAC4AQQBTAFQAUgBPAF8ATwBSAEIASQBUAF8AUABFAFIASQBPAEQAIgAsACIAQQBzAHQAcgBvAC4AQQBTAFQAUgBPAF8ATwBSAEIASQBUAF8AUwBVAE0AXwBNAEEAUwBTAEUAUwAiACwAIgBBAHMAdAByAG8ALgBBAFMAVABSAE8AXwBPAFIAQgBJAFQAXwBTAE8ATABWAEUAUgAiACwAIgBBAHMAdAByAG8ALgBBAFMAVABSAE8AXwBEAEUARwBSAEUARQBTAF8AVABPAF8ARABNAFMAXwBOAFUATQAiACwAIgBBAHMAdAByAG8ALgBBAFMAVABSAE8AXwBEAEUARwBSAEUARQBTAF8AVABPAF8ARABNAFMAXwBUAEUAWABUACIALAAiAEEAcwB0AHIAbwAuAEEAUwBUAFIATwBfAEQATQBTAF8ATgBVAE0AXwBUAE8AXwBEAEUARwBSAEUARQBTACIALAAiAFMAdABhAHQAcwAuAFMAVABBAFQAXwBRAE4AVABJAEwARQBTACIALAAiAFMAdABhAHQAcwAuAFMAVABBAFQAXwBTAFQARABFAFIAUgAiACwAIgBTAHQAYQB0AHMALgBTAFQAQQBUAF8ATQBJAE4ATQBBAFgAIgAsACIAUwB0AGEAdABzAC4AUwBUAEEAVABfAFMAVQBNAE0AQQBSAFkAIgAsACIAUwB0AGEAdABzAC4AUwBUAEEAVABfAEcARQBPADUAIgAsACIAUwB0AGEAdABzAC4AUwBUAEEAVABfAFYATwBMAFUATQBFACIALAAiAFMAdABhAHQAcwAuAFMAVABBAFQAXwBTAEgAQQBQAEUAIgAsACIAUwB0AGEAdABzAC4AUwBUAEEAVABfAE0ASQBEAFIAQQBOAEcARQAiACwAIgBTAHQAYQB0AHMALgBTAFQAQQBUAF8ARgBSAEUAUQBfAFQAQQBCAEwARQAiACwAIgBTAHQAYQB0AHMALgBTAFQAQQBUAF8AVwBUAEQAXwBBAFYARwAiACwAIgBTAHQAYQB0AHMALgBTAFQAQQBUAF8AUwBFAEwARgBfAFcAVABEAF8AQQBWAEcAIgAsACIAUwB0AGEAdABzAC4AUwBUAEEAVABfAFAAQwBUAF8AUgBFAE0AQQBQACIALAAiAFMAdABhAHQAcwAuAFMAVABBAFQAXwBQAEMAVABfAE8ARgBfAFIAQQBOAEcARQAiACwAIgBTAHQAYQB0AHMALgBTAFQAQQBUAF8AVgBBAEwAVQBFAF8ATwBGAF8AUABDAFQAIgAsACIAUwB0AGEAdABzAC4AUwBUAEEAVABfAEIARQBOAEYATwBSAEQAXwBUAEEAQgBMAEUAIgAsACIAUwB0AGEAdABzAC4AUwBUAEEAVABfAFIATgBEAF8AQgBFAE4ARgBPAFIARAAiACwAIgBTAHQAYQB0AHMALgBTAFQAQQBUAF8AVgBBAEwAXwBCAFIAQQBDAEsARQBUACIALAAiAE4AdQBtAE4AbwB0AGUALgBOAFUATQBOAE8AVABFAF8ARQBOAEcASQBOAEUARQBSAEkATgBHACIALAAiAE4AdQBtAE4AbwB0AGUALgBOAFUATQBOAE8AVABFAF8ATQBBAEcATgBJAFQAVQBEAEUAIgAsACIATgB1AG0ATgBvAHQAZQAuAE4AVQBNAE4ATwBUAEUAXwBQAE8AVwBFAFIAVABBAEc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Props1.xml><?xml version="1.0" encoding="utf-8"?>
<ds:datastoreItem xmlns:ds="http://schemas.openxmlformats.org/officeDocument/2006/customXml" ds:itemID="{2A397F16-40FB-EC46-9309-AA3EFEC8ACA1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Stele-Rosetta system</vt:lpstr>
      <vt:lpstr>Stele</vt:lpstr>
      <vt:lpstr>Sheet1</vt:lpstr>
      <vt:lpstr>Hororology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Conrad, Martin</dc:creator>
  <cp:lastModifiedBy>Martin Conrad</cp:lastModifiedBy>
  <dcterms:created xsi:type="dcterms:W3CDTF">2022-09-17T17:22:11Z</dcterms:created>
  <dcterms:modified xsi:type="dcterms:W3CDTF">2025-09-14T02:58:30Z</dcterms:modified>
</cp:coreProperties>
</file>