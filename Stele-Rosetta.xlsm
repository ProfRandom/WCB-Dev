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52EF285B-AC3B-104D-9255-D98CC2B3E758}" xr6:coauthVersionLast="47" xr6:coauthVersionMax="47" xr10:uidLastSave="{00000000-0000-0000-0000-000000000000}"/>
  <bookViews>
    <workbookView xWindow="1160" yWindow="23360" windowWidth="33400" windowHeight="17660" tabRatio="833" activeTab="1" xr2:uid="{1F53B416-A8EA-154F-927D-A8DD520A3B1E}"/>
  </bookViews>
  <sheets>
    <sheet name="Stele-Rosetta system" sheetId="39" r:id="rId1"/>
    <sheet name="Stele" sheetId="41" r:id="rId2"/>
    <sheet name="Hororology" sheetId="40" r:id="rId3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9" i="41" l="1"/>
  <c r="O109" i="41" s="1"/>
  <c r="P109" i="41"/>
  <c r="O108" i="41"/>
  <c r="R108" i="41"/>
  <c r="Q108" i="41"/>
  <c r="P108" i="41"/>
  <c r="O107" i="41"/>
  <c r="R107" i="41"/>
  <c r="P107" i="41" a="1"/>
  <c r="P107" i="41" s="1"/>
  <c r="O106" i="41"/>
  <c r="R106" i="41"/>
  <c r="Q106" i="41"/>
  <c r="P106" i="41"/>
  <c r="O105" i="41"/>
  <c r="R105" i="41"/>
  <c r="P105" i="41" a="1"/>
  <c r="P105" i="41" s="1"/>
  <c r="O104" i="41"/>
  <c r="R104" i="41"/>
  <c r="Q104" i="41"/>
  <c r="P104" i="41"/>
  <c r="R103" i="41"/>
  <c r="O103" i="41"/>
  <c r="P103" i="41" a="1"/>
  <c r="P103" i="41" s="1"/>
  <c r="O102" i="41"/>
  <c r="R102" i="41"/>
  <c r="Q102" i="41"/>
  <c r="P102" i="41"/>
  <c r="R101" i="41"/>
  <c r="O101" i="41"/>
  <c r="P101" i="41" a="1"/>
  <c r="P101" i="41" s="1"/>
  <c r="O100" i="41"/>
  <c r="R100" i="41"/>
  <c r="Q100" i="41"/>
  <c r="P100" i="41"/>
  <c r="P99" i="41" a="1"/>
  <c r="P99" i="41" s="1"/>
  <c r="P89" i="41"/>
  <c r="Q86" i="41"/>
  <c r="R86" i="41" s="1"/>
  <c r="S86" i="41" s="1"/>
  <c r="Q87" i="41"/>
  <c r="R87" i="41" s="1"/>
  <c r="S87" i="41" s="1"/>
  <c r="Q88" i="41"/>
  <c r="R88" i="41" s="1"/>
  <c r="S88" i="41" s="1"/>
  <c r="Q89" i="41"/>
  <c r="R89" i="41" s="1"/>
  <c r="S89" i="41" s="1"/>
  <c r="P91" i="41"/>
  <c r="P90" i="41"/>
  <c r="P84" i="41"/>
  <c r="W75" i="41"/>
  <c r="W73" i="41"/>
  <c r="W71" i="41"/>
  <c r="W69" i="41"/>
  <c r="W67" i="41"/>
  <c r="W65" i="41"/>
  <c r="W63" i="41"/>
  <c r="W61" i="41"/>
  <c r="C74" i="41"/>
  <c r="C73" i="41"/>
  <c r="C69" i="41"/>
  <c r="C68" i="41"/>
  <c r="C71" i="41" s="1" a="1"/>
  <c r="C71" i="41" s="1"/>
  <c r="C72" i="41" s="1"/>
  <c r="C75" i="41" s="1"/>
  <c r="C67" i="4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AB50" i="41" a="1"/>
  <c r="AB50" i="41" s="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K4" i="39"/>
  <c r="K5" i="39"/>
  <c r="K6" i="39"/>
  <c r="K7" i="39"/>
  <c r="K8" i="39"/>
  <c r="K9" i="39"/>
  <c r="K10" i="39"/>
  <c r="K11" i="39"/>
  <c r="K12" i="39"/>
  <c r="K3" i="39"/>
  <c r="J4" i="39"/>
  <c r="J5" i="39"/>
  <c r="J6" i="39"/>
  <c r="J7" i="39"/>
  <c r="J8" i="39"/>
  <c r="J9" i="39"/>
  <c r="J10" i="39"/>
  <c r="J11" i="39"/>
  <c r="J12" i="39"/>
  <c r="J3" i="39"/>
  <c r="I4" i="39"/>
  <c r="I5" i="39"/>
  <c r="I6" i="39"/>
  <c r="I7" i="39"/>
  <c r="I8" i="39"/>
  <c r="I9" i="39"/>
  <c r="I10" i="39"/>
  <c r="I11" i="39"/>
  <c r="I12" i="39"/>
  <c r="I3" i="39"/>
  <c r="H3" i="39" a="1"/>
  <c r="H3" i="39" s="1"/>
  <c r="R109" i="41" l="1"/>
  <c r="U89" i="41"/>
  <c r="T89" i="41"/>
  <c r="T88" i="41"/>
  <c r="U88" i="41"/>
  <c r="U87" i="41"/>
  <c r="T87" i="41"/>
  <c r="T86" i="41"/>
  <c r="U86" i="41"/>
  <c r="P51" i="41" a="1"/>
  <c r="P51" i="41" s="1"/>
  <c r="P54" i="41" a="1"/>
  <c r="P54" i="41" s="1"/>
  <c r="P53" i="41" a="1"/>
  <c r="P53" i="41" s="1"/>
  <c r="C77" i="41"/>
  <c r="C76" i="41"/>
  <c r="C78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H78" i="41" l="1"/>
  <c r="E78" i="41"/>
  <c r="H77" i="41"/>
  <c r="E77" i="41"/>
  <c r="AD50" i="41" a="1"/>
  <c r="AD50" i="41" s="1"/>
  <c r="M60" i="41" a="1"/>
  <c r="M60" i="41" s="1"/>
  <c r="O60" i="41" s="1" a="1"/>
  <c r="O60" i="41" s="1"/>
  <c r="AC50" i="41" a="1"/>
  <c r="D27" i="40"/>
  <c r="G27" i="40" s="1"/>
  <c r="I27" i="40" s="1"/>
  <c r="J27" i="40" s="1"/>
  <c r="P68" i="41" l="1"/>
  <c r="U73" i="41"/>
  <c r="P71" i="41"/>
  <c r="R69" i="41"/>
  <c r="T73" i="41"/>
  <c r="P69" i="41"/>
  <c r="R73" i="41"/>
  <c r="R75" i="41"/>
  <c r="U71" i="41"/>
  <c r="R61" i="41"/>
  <c r="T71" i="41"/>
  <c r="P63" i="41"/>
  <c r="P73" i="41"/>
  <c r="T69" i="4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R63" i="41"/>
  <c r="U63" i="41"/>
  <c r="U61" i="41"/>
  <c r="P65" i="41"/>
  <c r="P75" i="41"/>
  <c r="T65" i="41"/>
  <c r="P66" i="41"/>
  <c r="T75" i="41"/>
  <c r="T63" i="41"/>
  <c r="P61" i="41"/>
  <c r="U67" i="41"/>
  <c r="AE51" i="41"/>
  <c r="AE53" i="41"/>
  <c r="AE55" i="41"/>
  <c r="AE56" i="41"/>
  <c r="AE52" i="41"/>
  <c r="AC50" i="41"/>
  <c r="AE50" i="41" s="1"/>
  <c r="AE54" i="41"/>
  <c r="AE57" i="41"/>
  <c r="Q97" i="41" l="1"/>
  <c r="P86" i="41"/>
  <c r="P87" i="41"/>
  <c r="P85" i="41"/>
  <c r="Q85" i="41" s="1"/>
  <c r="R85" i="41" s="1"/>
  <c r="S85" i="41" s="1"/>
  <c r="P88" i="41"/>
  <c r="P98" i="41"/>
  <c r="R98" i="41" s="1"/>
  <c r="O97" i="41"/>
  <c r="R97" i="41"/>
  <c r="N60" i="41" a="1"/>
  <c r="T61" i="41"/>
  <c r="T85" i="41" l="1"/>
  <c r="Q98" i="41" s="1"/>
  <c r="R99" i="41" s="1"/>
  <c r="U85" i="41"/>
  <c r="O99" i="4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S61" i="41" l="1"/>
  <c r="O98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<sst xmlns="http://schemas.openxmlformats.org/spreadsheetml/2006/main" count="277" uniqueCount="181">
  <si>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</si>
  <si>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</si>
  <si>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</si>
  <si>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</si>
  <si>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</si>
  <si>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</si>
  <si>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</si>
  <si>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</si>
  <si>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</si>
  <si>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</si>
  <si>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</si>
  <si>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</si>
  <si>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</si>
  <si>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</si>
  <si>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</si>
  <si>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</si>
  <si>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</si>
  <si>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</si>
  <si>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</si>
  <si>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</si>
  <si>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</si>
  <si>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</si>
  <si>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</si>
  <si>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</si>
  <si>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</si>
  <si>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</si>
  <si>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</si>
  <si>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</si>
  <si>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</si>
  <si>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</si>
  <si>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</si>
  <si>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</si>
  <si>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</si>
  <si>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</si>
  <si>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</si>
  <si>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</si>
  <si>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</si>
  <si>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</si>
  <si>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</si>
  <si>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</si>
  <si>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</si>
  <si>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</si>
  <si>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</si>
  <si>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</si>
  <si>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</si>
  <si>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</si>
  <si>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</si>
  <si>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</si>
  <si>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</si>
  <si>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</si>
  <si>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</si>
  <si>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</si>
  <si>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</si>
  <si>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</si>
  <si>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</si>
  <si>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</si>
  <si>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</si>
  <si>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</si>
  <si>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</si>
  <si>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</si>
  <si>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</si>
  <si>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</si>
  <si>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</si>
  <si>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</si>
  <si>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</si>
  <si>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</si>
  <si>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</si>
  <si>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</si>
  <si>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</si>
  <si>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</si>
  <si>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</si>
  <si>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</si>
  <si>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</si>
  <si>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</si>
  <si>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</si>
  <si>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</si>
  <si>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</si>
  <si>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</si>
  <si>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</si>
  <si>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</si>
  <si>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</si>
  <si>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</si>
  <si>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</si>
  <si>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</si>
  <si>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</si>
  <si>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</si>
  <si>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</si>
  <si>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</si>
  <si>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</si>
  <si>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</si>
  <si>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</si>
  <si>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</si>
  <si>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</si>
  <si>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</si>
  <si>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</si>
  <si>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</si>
  <si>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</si>
  <si>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</si>
  <si>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</si>
  <si>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</si>
  <si>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</si>
  <si>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</si>
  <si>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</si>
  <si>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</si>
  <si>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</si>
  <si>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</si>
  <si>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</si>
  <si>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</si>
  <si>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</si>
  <si>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</si>
  <si>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</si>
  <si>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</si>
  <si>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</si>
  <si>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</si>
  <si>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</si>
  <si>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</si>
  <si>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</si>
  <si>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</si>
  <si>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</si>
  <si>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</si>
  <si>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</si>
  <si>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</si>
  <si>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</si>
  <si>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</si>
  <si>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</si>
  <si>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</si>
  <si>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</si>
  <si>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resonance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</si>
  <si>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</si>
  <si>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</si>
  <si>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</si>
  <si>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</si>
  <si>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</si>
  <si>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</si>
  <si>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</si>
  <si>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</si>
  <si>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</si>
  <si>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</si>
  <si>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</si>
  <si>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</si>
  <si>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</si>
  <si>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</si>
  <si>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</si>
  <si>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</si>
  <si>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</si>
  <si>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</si>
  <si>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</si>
  <si>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</si>
  <si>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</si>
  <si>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</si>
  <si>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</si>
  <si>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</si>
  <si>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</si>
  <si>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</si>
  <si>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</si>
  <si>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</si>
  <si>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</si>
  <si>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</si>
  <si>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</si>
  <si>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Star Mass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</si>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</sst>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"/>
    <numFmt numFmtId="166" formatCode="0.000"/>
    <numFmt numFmtId="172" formatCode="0.0000000"/>
  </numFmts>
  <fonts count="6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72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abSelected="1" topLeftCell="F32" zoomScale="140" zoomScaleNormal="140" workbookViewId="0">
      <selection activeCell="M46" sqref="M46:W110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159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v>2.1440000000000001</v>
      </c>
      <c r="P48" s="8" t="s">
        <v>122</v>
      </c>
      <c r="R48" s="8" t="s">
        <v>119</v>
      </c>
      <c r="S48" s="14">
        <v>4.4660000000000002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2.8887650608226996</v>
      </c>
      <c r="O49" s="8" t="s">
        <v>114</v>
      </c>
      <c r="R49" s="8" t="s">
        <v>120</v>
      </c>
      <c r="S49" s="22">
        <f>SQRT(S48^3/$N$46)</f>
        <v>8.6846661708770725</v>
      </c>
      <c r="T49" s="8" t="s">
        <v>114</v>
      </c>
      <c r="AB49" s="8" t="s">
        <v>127</v>
      </c>
      <c r="AC49" s="8" t="s">
        <v>104</v>
      </c>
      <c r="AD49" s="8" t="s">
        <v>105</v>
      </c>
      <c r="AE49" s="8" t="s">
        <v>126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6.269094030728386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1.5273505155716258</v>
      </c>
      <c r="AB50" s="8" t="str" cm="1">
        <f t="array" ref="AB50:AB57">S50:S57</f>
        <v>5:1</v>
      </c>
      <c r="AC50" s="14" cm="1">
        <f t="array" ref="AC50:AC57">P50:P57</f>
        <v>6.269094030728386</v>
      </c>
      <c r="AD50" s="14" cm="1">
        <f t="array" ref="AD50:AD57">U50:U57</f>
        <v>1.5273505155716258</v>
      </c>
      <c r="AE50" s="14">
        <f>AVERAGE(AC50:AD50)</f>
        <v>3.8982222731500058</v>
      </c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5.4025414619492169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1.7723332745224947</v>
      </c>
      <c r="AB51" s="8" t="str">
        <v>4:1</v>
      </c>
      <c r="AC51" s="8">
        <v>5.4025414619492169</v>
      </c>
      <c r="AD51" s="8">
        <v>1.7723332745224947</v>
      </c>
      <c r="AE51" s="14">
        <f t="shared" ref="AE51:AE57" si="10">AVERAGE(AC51:AD51)</f>
        <v>3.5874373682358556</v>
      </c>
    </row>
    <row r="52" spans="2:31">
      <c r="B52" s="19">
        <v>8</v>
      </c>
      <c r="C52" s="12">
        <v>2.1440000000000001</v>
      </c>
      <c r="D52" s="13" t="str">
        <f t="shared" ref="D52" si="11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4.4596997166232821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2.1470288603309622</v>
      </c>
      <c r="AB52" s="8" t="str">
        <v>3:1</v>
      </c>
      <c r="AC52" s="8">
        <v>4.4596997166232821</v>
      </c>
      <c r="AD52" s="8">
        <v>2.1470288603309622</v>
      </c>
      <c r="AE52" s="14">
        <f t="shared" si="10"/>
        <v>3.3033642884771224</v>
      </c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3.9492817665424944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2.4245178151425706</v>
      </c>
      <c r="AB53" s="8" t="str">
        <v>5:2</v>
      </c>
      <c r="AC53" s="8">
        <v>3.9492817665424944</v>
      </c>
      <c r="AD53" s="8">
        <v>2.4245178151425706</v>
      </c>
      <c r="AE53" s="14">
        <f t="shared" si="10"/>
        <v>3.1868997908425323</v>
      </c>
    </row>
    <row r="54" spans="2:31">
      <c r="B54" s="19">
        <v>9</v>
      </c>
      <c r="C54" s="12">
        <v>4.4660000000000002</v>
      </c>
      <c r="D54" s="13" t="str">
        <f t="shared" ref="D54" si="12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3.4033878554198198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2.8134037044152516</v>
      </c>
      <c r="AB54" s="8" t="str">
        <v>2:1</v>
      </c>
      <c r="AC54" s="8">
        <v>3.4033878554198198</v>
      </c>
      <c r="AD54" s="8">
        <v>2.8134037044152516</v>
      </c>
      <c r="AE54" s="14">
        <f t="shared" si="10"/>
        <v>3.1083957799175357</v>
      </c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3.0142678927587934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3.1765935678784119</v>
      </c>
      <c r="AB55" s="8" t="str">
        <v>5:3</v>
      </c>
      <c r="AC55" s="8">
        <v>3.0142678927587934</v>
      </c>
      <c r="AD55" s="8">
        <v>3.1765935678784119</v>
      </c>
      <c r="AE55" s="14">
        <f t="shared" si="10"/>
        <v>3.0954307303186024</v>
      </c>
    </row>
    <row r="56" spans="2:31">
      <c r="B56" s="19">
        <v>10</v>
      </c>
      <c r="C56" s="12">
        <v>9.4440000000000008</v>
      </c>
      <c r="D56" s="13" t="str">
        <f t="shared" ref="D56:D57" si="13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2.8094347745919372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3.4081958714954532</v>
      </c>
      <c r="AB56" s="8" t="str">
        <v>3:2</v>
      </c>
      <c r="AC56" s="8">
        <v>2.8094347745919372</v>
      </c>
      <c r="AD56" s="8">
        <v>3.4081958714954532</v>
      </c>
      <c r="AE56" s="14">
        <f t="shared" si="10"/>
        <v>3.1088153230436952</v>
      </c>
    </row>
    <row r="57" spans="2:31">
      <c r="B57" s="19">
        <v>11</v>
      </c>
      <c r="C57" s="12">
        <v>19.073</v>
      </c>
      <c r="D57" s="13" t="str">
        <f t="shared" si="13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2.5968381374771261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3.687216335055207</v>
      </c>
      <c r="AB57" s="8" t="str">
        <v>4:3</v>
      </c>
      <c r="AC57" s="8">
        <v>2.5968381374771261</v>
      </c>
      <c r="AD57" s="8">
        <v>3.687216335055207</v>
      </c>
      <c r="AE57" s="14">
        <f t="shared" si="10"/>
        <v>3.1420272362661663</v>
      </c>
    </row>
    <row r="58" spans="2:31">
      <c r="H58" s="8">
        <v>5</v>
      </c>
      <c r="I58" s="8">
        <v>1.5273505155716258</v>
      </c>
      <c r="J58" s="8">
        <v>1.7369332341754145</v>
      </c>
    </row>
    <row r="60" spans="2:31">
      <c r="B60" s="8" t="s">
        <v>165</v>
      </c>
      <c r="C60" s="12">
        <v>333000</v>
      </c>
      <c r="M60" s="8" cm="1">
        <f t="array" ref="M60:M75">_xlfn.VSTACK(P50:P57,U50:U57)</f>
        <v>6.269094030728386</v>
      </c>
      <c r="N60" s="8" cm="1">
        <f t="array" ref="N60:N75">_xlfn.SEQUENCE(COUNTA(O60:O75))</f>
        <v>1</v>
      </c>
      <c r="O60" s="21" cm="1">
        <f t="array" ref="O60:O75">_xlfn._xlws.SORT(_xlfn.ANCHORARRAY(M60))</f>
        <v>1.5273505155716258</v>
      </c>
    </row>
    <row r="61" spans="2:31">
      <c r="B61" s="8" t="s">
        <v>161</v>
      </c>
      <c r="C61" s="8">
        <v>20</v>
      </c>
      <c r="M61" s="8">
        <v>5.4025414619492169</v>
      </c>
      <c r="N61" s="8">
        <v>2</v>
      </c>
      <c r="O61" s="21">
        <v>1.7723332745224947</v>
      </c>
      <c r="P61" s="8">
        <f t="shared" ref="P60:P75" si="14">O61/O60</f>
        <v>1.1603972084031946</v>
      </c>
      <c r="Q61" s="8" t="str">
        <f>"ratio "&amp;_xlfn.TEXTJOIN(" / ",,N61,N60)</f>
        <v>ratio 2 / 1</v>
      </c>
      <c r="R61" s="12">
        <f>O61-O60</f>
        <v>0.24498275895086885</v>
      </c>
      <c r="S61" s="8" t="str">
        <f>"difference  "&amp;_xlfn.TEXTJOIN(" - ",,N61,N60)</f>
        <v>difference  2 - 1</v>
      </c>
      <c r="T61" s="12">
        <f>AVERAGE(O60:O61)</f>
        <v>1.6498418950470604</v>
      </c>
      <c r="U61" s="8" t="str">
        <f>"average  "&amp;_xlfn.TEXTJOIN(", ",,TEXT(O61,"0.###"),TEXT(O60,"0.###"))</f>
        <v>average  1.772, 1.527</v>
      </c>
      <c r="W61" s="8" t="b">
        <f>AND(T61&gt;$C$77,T61&lt;$C$78)</f>
        <v>0</v>
      </c>
    </row>
    <row r="62" spans="2:31">
      <c r="B62" s="8" t="s">
        <v>162</v>
      </c>
      <c r="C62" s="8">
        <v>5</v>
      </c>
      <c r="M62" s="8">
        <v>4.4596997166232821</v>
      </c>
      <c r="N62" s="8">
        <v>3</v>
      </c>
      <c r="O62" s="21">
        <v>2.1470288603309622</v>
      </c>
      <c r="P62" s="8">
        <f t="shared" si="14"/>
        <v>1.2114137285547599</v>
      </c>
      <c r="Q62" s="8" t="str">
        <f t="shared" ref="Q62:Q75" si="15">"ratio "&amp;_xlfn.TEXTJOIN(" / ",,N62,N61)</f>
        <v>ratio 3 / 2</v>
      </c>
    </row>
    <row r="63" spans="2:31">
      <c r="B63" s="8" t="s">
        <v>113</v>
      </c>
      <c r="C63" s="8">
        <v>2.1440000000000001</v>
      </c>
      <c r="M63" s="8">
        <v>3.9492817665424944</v>
      </c>
      <c r="N63" s="8">
        <v>4</v>
      </c>
      <c r="O63" s="21">
        <v>2.4245178151425706</v>
      </c>
      <c r="P63" s="8">
        <f t="shared" si="14"/>
        <v>1.1292432346572341</v>
      </c>
      <c r="Q63" s="8" t="str">
        <f t="shared" si="15"/>
        <v>ratio 4 / 3</v>
      </c>
      <c r="R63" s="12">
        <f>O63-O62</f>
        <v>0.2774889548116084</v>
      </c>
      <c r="S63" s="8" t="str">
        <f>"difference  "&amp;_xlfn.TEXTJOIN(" - ",,N63,N62)</f>
        <v>difference  4 - 3</v>
      </c>
      <c r="T63" s="12">
        <f>AVERAGE(O62:O63)</f>
        <v>2.2857733377367664</v>
      </c>
      <c r="U63" s="8" t="str">
        <f>"average  "&amp;_xlfn.TEXTJOIN(", ",,TEXT(O64,"0.###"),TEXT(O63,"0.###"))</f>
        <v>average  2.597, 2.425</v>
      </c>
      <c r="W63" s="8" t="b">
        <f>AND(T63&gt;$C$77,T63&lt;$C$78)</f>
        <v>0</v>
      </c>
    </row>
    <row r="64" spans="2:31">
      <c r="B64" s="8" t="s">
        <v>119</v>
      </c>
      <c r="C64" s="8">
        <v>4.4660000000000002</v>
      </c>
      <c r="M64" s="8">
        <v>3.4033878554198198</v>
      </c>
      <c r="N64" s="8">
        <v>5</v>
      </c>
      <c r="O64" s="21">
        <v>2.5968381374771261</v>
      </c>
      <c r="P64" s="8">
        <f t="shared" si="14"/>
        <v>1.0710740590390022</v>
      </c>
      <c r="Q64" s="8" t="str">
        <f t="shared" si="15"/>
        <v>ratio 5 / 4</v>
      </c>
      <c r="R64" s="12"/>
    </row>
    <row r="65" spans="2:23">
      <c r="B65" s="8" t="s">
        <v>126</v>
      </c>
      <c r="C65" s="8">
        <f>AVERAGE(C63:C64)</f>
        <v>3.3050000000000002</v>
      </c>
      <c r="M65" s="8">
        <v>3.0142678927587934</v>
      </c>
      <c r="N65" s="8">
        <v>6</v>
      </c>
      <c r="O65" s="21">
        <v>2.8094347745919372</v>
      </c>
      <c r="P65" s="8">
        <f t="shared" si="14"/>
        <v>1.0818674964937756</v>
      </c>
      <c r="Q65" s="8" t="str">
        <f t="shared" si="15"/>
        <v>ratio 6 / 5</v>
      </c>
      <c r="R65" s="12">
        <f>O65-O64</f>
        <v>0.21259663711481114</v>
      </c>
      <c r="S65" s="8" t="str">
        <f>"difference  "&amp;_xlfn.TEXTJOIN(" - ",,N65,N64)</f>
        <v>difference  6 - 5</v>
      </c>
      <c r="T65" s="12">
        <f>AVERAGE(O64:O65)</f>
        <v>2.7031364560345317</v>
      </c>
      <c r="U65" s="8" t="str">
        <f>"average  "&amp;_xlfn.TEXTJOIN(", ",,TEXT(O66,"0.###"),TEXT(O65,"0.###"))</f>
        <v>average  2.813, 2.809</v>
      </c>
      <c r="W65" s="8" t="b">
        <f>AND(T65&gt;$C$77,T65&lt;$C$78)</f>
        <v>1</v>
      </c>
    </row>
    <row r="66" spans="2:23">
      <c r="B66" s="8" t="s">
        <v>160</v>
      </c>
      <c r="C66" s="8">
        <f>ABS((C64-C63))/2</f>
        <v>1.161</v>
      </c>
      <c r="M66" s="8">
        <v>2.8094347745919372</v>
      </c>
      <c r="N66" s="8">
        <v>7</v>
      </c>
      <c r="O66" s="21">
        <v>2.8134037044152516</v>
      </c>
      <c r="P66" s="8">
        <f t="shared" si="14"/>
        <v>1.0014127147066052</v>
      </c>
      <c r="Q66" s="8" t="str">
        <f t="shared" si="15"/>
        <v>ratio 7 / 6</v>
      </c>
      <c r="R66" s="12"/>
    </row>
    <row r="67" spans="2:23">
      <c r="B67" s="8" t="s">
        <v>163</v>
      </c>
      <c r="C67" s="8">
        <f>C65+C66*((C61-C62)/(C61+C62))</f>
        <v>4.0015999999999998</v>
      </c>
      <c r="M67" s="8">
        <v>2.5968381374771261</v>
      </c>
      <c r="N67" s="8">
        <v>8</v>
      </c>
      <c r="O67" s="21">
        <v>3.0142678927587934</v>
      </c>
      <c r="P67" s="8">
        <f t="shared" si="14"/>
        <v>1.0713954375009576</v>
      </c>
      <c r="Q67" s="8" t="str">
        <f t="shared" si="15"/>
        <v>ratio 8 / 7</v>
      </c>
      <c r="R67" s="12">
        <f>O67-O66</f>
        <v>0.20086418834354181</v>
      </c>
      <c r="S67" s="8" t="str">
        <f>"difference  "&amp;_xlfn.TEXTJOIN(" - ",,N67,N66)</f>
        <v>difference  8 - 7</v>
      </c>
      <c r="T67" s="12">
        <f>AVERAGE(O66:O67)</f>
        <v>2.9138357985870225</v>
      </c>
      <c r="U67" s="8" t="str">
        <f>"average  "&amp;_xlfn.TEXTJOIN(", ",,TEXT(O68,"0.###"),TEXT(O67,"0.###"))</f>
        <v>average  3.177, 3.014</v>
      </c>
      <c r="W67" s="8" t="b">
        <f>AND(T67&gt;$C$77,T67&lt;$C$78)</f>
        <v>1</v>
      </c>
    </row>
    <row r="68" spans="2:23">
      <c r="B68" s="8" t="s">
        <v>164</v>
      </c>
      <c r="C68" s="8">
        <f>(C61+C62)/C60</f>
        <v>7.5075075075075072E-5</v>
      </c>
      <c r="M68" s="8">
        <v>1.5273505155716258</v>
      </c>
      <c r="N68" s="8">
        <v>9</v>
      </c>
      <c r="O68" s="21">
        <v>3.1765935678784119</v>
      </c>
      <c r="P68" s="8">
        <f t="shared" si="14"/>
        <v>1.0538524381026568</v>
      </c>
      <c r="Q68" s="8" t="str">
        <f t="shared" si="15"/>
        <v>ratio 9 / 8</v>
      </c>
      <c r="R68" s="12"/>
    </row>
    <row r="69" spans="2:23">
      <c r="B69" s="8" t="s">
        <v>166</v>
      </c>
      <c r="C69" s="8">
        <f>C64-C63</f>
        <v>2.3220000000000001</v>
      </c>
      <c r="M69" s="8">
        <v>1.7723332745224947</v>
      </c>
      <c r="N69" s="8">
        <v>10</v>
      </c>
      <c r="O69" s="21">
        <v>3.4033878554198198</v>
      </c>
      <c r="P69" s="8">
        <f t="shared" si="14"/>
        <v>1.0713954375009578</v>
      </c>
      <c r="Q69" s="8" t="str">
        <f t="shared" si="15"/>
        <v>ratio 10 / 9</v>
      </c>
      <c r="R69" s="12">
        <f>O69-O68</f>
        <v>0.22679428754140796</v>
      </c>
      <c r="S69" s="8" t="str">
        <f>"difference  "&amp;_xlfn.TEXTJOIN(" - ",,N69,N68)</f>
        <v>difference  10 - 9</v>
      </c>
      <c r="T69" s="12">
        <f>AVERAGE(O68:O69)</f>
        <v>3.2899907116491161</v>
      </c>
      <c r="U69" s="8" t="str">
        <f>"average  "&amp;_xlfn.TEXTJOIN(", ",,TEXT(O70,"0.###"),TEXT(O69,"0.###"))</f>
        <v>average  3.408, 3.403</v>
      </c>
      <c r="W69" s="8" t="b">
        <f>AND(T69&gt;$C$77,T69&lt;$C$78)</f>
        <v>1</v>
      </c>
    </row>
    <row r="70" spans="2:23">
      <c r="B70" s="8" t="s">
        <v>168</v>
      </c>
      <c r="C70" s="8">
        <v>2</v>
      </c>
      <c r="M70" s="8">
        <v>2.1470288603309622</v>
      </c>
      <c r="N70" s="8">
        <v>11</v>
      </c>
      <c r="O70" s="21">
        <v>3.4081958714954532</v>
      </c>
      <c r="P70" s="8">
        <f t="shared" si="14"/>
        <v>1.0014127147066052</v>
      </c>
      <c r="Q70" s="8" t="str">
        <f t="shared" si="15"/>
        <v>ratio 11 / 10</v>
      </c>
      <c r="R70" s="12"/>
    </row>
    <row r="71" spans="2:23">
      <c r="B71" s="8" t="s">
        <v>169</v>
      </c>
      <c r="C71" s="8" cm="1">
        <f t="array" ref="C71">1-(C70*ROOT(C68,3))</f>
        <v>0.91562860029011017</v>
      </c>
      <c r="M71" s="8">
        <v>2.4245178151425706</v>
      </c>
      <c r="N71" s="8">
        <v>12</v>
      </c>
      <c r="O71" s="21">
        <v>3.687216335055207</v>
      </c>
      <c r="P71" s="8">
        <f t="shared" si="14"/>
        <v>1.0818674964937753</v>
      </c>
      <c r="Q71" s="8" t="str">
        <f t="shared" si="15"/>
        <v>ratio 12 / 11</v>
      </c>
      <c r="R71" s="12">
        <f>O71-O70</f>
        <v>0.27902046355975374</v>
      </c>
      <c r="S71" s="8" t="str">
        <f>"difference  "&amp;_xlfn.TEXTJOIN(" - ",,N71,N70)</f>
        <v>difference  12 - 11</v>
      </c>
      <c r="T71" s="12">
        <f>AVERAGE(O70:O71)</f>
        <v>3.5477061032753303</v>
      </c>
      <c r="U71" s="8" t="str">
        <f>"average  "&amp;_xlfn.TEXTJOIN(", ",,TEXT(O72,"0.###"),TEXT(O71,"0.###"))</f>
        <v>average  3.949, 3.687</v>
      </c>
      <c r="W71" s="8" t="b">
        <f>AND(T71&gt;$C$77,T71&lt;$C$78)</f>
        <v>1</v>
      </c>
    </row>
    <row r="72" spans="2:23">
      <c r="B72" s="8" t="s">
        <v>167</v>
      </c>
      <c r="C72" s="8">
        <f>C69*C71</f>
        <v>2.1260896098736359</v>
      </c>
      <c r="M72" s="8">
        <v>2.8134037044152516</v>
      </c>
      <c r="N72" s="8">
        <v>13</v>
      </c>
      <c r="O72" s="21">
        <v>3.9492817665424944</v>
      </c>
      <c r="P72" s="8">
        <f t="shared" si="14"/>
        <v>1.0710740590390022</v>
      </c>
      <c r="Q72" s="8" t="str">
        <f t="shared" si="15"/>
        <v>ratio 13 / 12</v>
      </c>
    </row>
    <row r="73" spans="2:23">
      <c r="B73" s="8" t="s">
        <v>172</v>
      </c>
      <c r="C73" s="8">
        <f>C61/(C61+C62)</f>
        <v>0.8</v>
      </c>
      <c r="M73" s="8">
        <v>3.1765935678784119</v>
      </c>
      <c r="N73" s="8">
        <v>14</v>
      </c>
      <c r="O73" s="21">
        <v>4.4596997166232821</v>
      </c>
      <c r="P73" s="8">
        <f t="shared" si="14"/>
        <v>1.1292432346572341</v>
      </c>
      <c r="Q73" s="8" t="str">
        <f t="shared" si="15"/>
        <v>ratio 14 / 13</v>
      </c>
      <c r="R73" s="23">
        <f>O73-O72</f>
        <v>0.51041795008078772</v>
      </c>
      <c r="S73" s="8" t="str">
        <f>"difference  "&amp;_xlfn.TEXTJOIN(" - ",,N73,N72)</f>
        <v>difference  14 - 13</v>
      </c>
      <c r="T73" s="12">
        <f>AVERAGE(O72:O73)</f>
        <v>4.2044907415828883</v>
      </c>
      <c r="U73" s="8" t="str">
        <f>"average  "&amp;_xlfn.TEXTJOIN(", ",,TEXT(O74,"0.###"),TEXT(O73,"0.###"))</f>
        <v>average  5.403, 4.46</v>
      </c>
      <c r="W73" s="8" t="b">
        <f>AND(T73&gt;$C$77,T73&lt;$C$78)</f>
        <v>1</v>
      </c>
    </row>
    <row r="74" spans="2:23">
      <c r="B74" s="8" t="s">
        <v>173</v>
      </c>
      <c r="C74" s="8">
        <f>C62/(C61+C62)</f>
        <v>0.2</v>
      </c>
      <c r="M74" s="8">
        <v>3.4081958714954532</v>
      </c>
      <c r="N74" s="8">
        <v>15</v>
      </c>
      <c r="O74" s="21">
        <v>5.4025414619492169</v>
      </c>
      <c r="P74" s="8">
        <f t="shared" si="14"/>
        <v>1.2114137285547599</v>
      </c>
      <c r="Q74" s="8" t="str">
        <f t="shared" si="15"/>
        <v>ratio 15 / 14</v>
      </c>
    </row>
    <row r="75" spans="2:23">
      <c r="B75" s="8" t="s">
        <v>174</v>
      </c>
      <c r="C75" s="8">
        <f>C72*C73</f>
        <v>1.7008716878989087</v>
      </c>
      <c r="M75" s="8">
        <v>3.687216335055207</v>
      </c>
      <c r="N75" s="8">
        <v>16</v>
      </c>
      <c r="O75" s="21">
        <v>6.269094030728386</v>
      </c>
      <c r="P75" s="8">
        <f t="shared" si="14"/>
        <v>1.1603972084031948</v>
      </c>
      <c r="Q75" s="8" t="str">
        <f t="shared" si="15"/>
        <v>ratio 16 / 15</v>
      </c>
      <c r="R75" s="23">
        <f>O75-O74</f>
        <v>0.86655256877916909</v>
      </c>
      <c r="S75" s="8" t="str">
        <f>"difference  "&amp;_xlfn.TEXTJOIN(" - ",,N75,N74)</f>
        <v>difference  16 - 15</v>
      </c>
      <c r="T75" s="12">
        <f>AVERAGE(O74:O75)</f>
        <v>5.835817746338801</v>
      </c>
      <c r="U75" s="8" t="str">
        <f>"average  "&amp;_xlfn.TEXTJOIN(", ",,TEXT(O75,"0.###"),TEXT(O74,"0.###"))</f>
        <v>average  6.269, 5.403</v>
      </c>
      <c r="W75" s="8" t="b">
        <f>AND(T75&gt;$C$77,T75&lt;$C$78)</f>
        <v>0</v>
      </c>
    </row>
    <row r="76" spans="2:23">
      <c r="B76" s="8" t="s">
        <v>175</v>
      </c>
      <c r="C76" s="8">
        <f>C72*C74</f>
        <v>0.42521792197472719</v>
      </c>
    </row>
    <row r="77" spans="2:23">
      <c r="B77" s="8" t="s">
        <v>170</v>
      </c>
      <c r="C77" s="8">
        <f>C67-C75</f>
        <v>2.3007283121010911</v>
      </c>
      <c r="D77" s="8" t="s">
        <v>176</v>
      </c>
      <c r="E77" s="8">
        <f>C77-C63</f>
        <v>0.15672831210109095</v>
      </c>
      <c r="H77" s="8">
        <f>C65-C77</f>
        <v>1.0042716878989091</v>
      </c>
    </row>
    <row r="78" spans="2:23">
      <c r="B78" s="8" t="s">
        <v>171</v>
      </c>
      <c r="C78" s="8">
        <f>C67+C76</f>
        <v>4.4268179219747275</v>
      </c>
      <c r="D78" s="8" t="s">
        <v>177</v>
      </c>
      <c r="E78" s="8">
        <f>C64-C78</f>
        <v>3.9182078025272737E-2</v>
      </c>
      <c r="H78" s="8">
        <f>C78-C65</f>
        <v>1.1218179219747273</v>
      </c>
    </row>
    <row r="79" spans="2:23">
      <c r="O79" s="8" t="s">
        <v>135</v>
      </c>
    </row>
    <row r="80" spans="2:23">
      <c r="O80" s="8">
        <v>5</v>
      </c>
      <c r="Q80" s="8" t="s">
        <v>137</v>
      </c>
      <c r="R80" s="8" t="s">
        <v>137</v>
      </c>
      <c r="S80" s="8" t="s">
        <v>138</v>
      </c>
      <c r="T80" s="8" t="s">
        <v>140</v>
      </c>
      <c r="U80" s="8" t="s">
        <v>142</v>
      </c>
    </row>
    <row r="81" spans="14:22">
      <c r="O81" s="8" t="s">
        <v>136</v>
      </c>
      <c r="Q81" s="8" t="s">
        <v>135</v>
      </c>
      <c r="R81" s="8" t="s">
        <v>136</v>
      </c>
      <c r="S81" s="8" t="s">
        <v>139</v>
      </c>
      <c r="T81" s="8" t="s">
        <v>141</v>
      </c>
      <c r="U81" s="8" t="s">
        <v>141</v>
      </c>
    </row>
    <row r="82" spans="14:22">
      <c r="O82" s="8">
        <v>50</v>
      </c>
    </row>
    <row r="83" spans="14:22">
      <c r="O83" s="8" t="s">
        <v>133</v>
      </c>
      <c r="P83" s="14">
        <f>N48</f>
        <v>2.1440000000000001</v>
      </c>
    </row>
    <row r="84" spans="14:22">
      <c r="N84" s="12"/>
      <c r="O84" s="8" t="s">
        <v>134</v>
      </c>
      <c r="P84" s="12">
        <f>C77</f>
        <v>2.3007283121010911</v>
      </c>
    </row>
    <row r="85" spans="14:22">
      <c r="O85" s="8" t="s">
        <v>128</v>
      </c>
      <c r="P85" s="12">
        <f>T65</f>
        <v>2.7031364560345317</v>
      </c>
      <c r="Q85" s="8">
        <f>P85*SQRT($O$80/333000)</f>
        <v>1.0474441007211671E-2</v>
      </c>
      <c r="R85" s="20">
        <f>Q85*SQRT($O$82/333000)</f>
        <v>1.2834936977935019E-4</v>
      </c>
      <c r="S85" s="8">
        <f>AVERAGE(Q85:R85)</f>
        <v>5.3013951884955113E-3</v>
      </c>
      <c r="T85" s="12">
        <f>P85-(S85/2)</f>
        <v>2.7004857584402839</v>
      </c>
      <c r="U85" s="12">
        <f>P85+(S85/2)</f>
        <v>2.7057871536287794</v>
      </c>
      <c r="V85" s="12"/>
    </row>
    <row r="86" spans="14:22">
      <c r="O86" s="8" t="s">
        <v>129</v>
      </c>
      <c r="P86" s="12">
        <f>T67</f>
        <v>2.9138357985870225</v>
      </c>
      <c r="Q86" s="8">
        <f t="shared" ref="Q86:Q89" si="16">P86*SQRT($O$80/333000)</f>
        <v>1.1290884375765078E-2</v>
      </c>
      <c r="R86" s="20">
        <f t="shared" ref="R86:R89" si="17">Q86*SQRT($O$82/333000)</f>
        <v>1.3835372149055E-4</v>
      </c>
      <c r="S86" s="8">
        <f t="shared" ref="S86:S89" si="18">AVERAGE(Q86:R86)</f>
        <v>5.7146190486278142E-3</v>
      </c>
      <c r="T86" s="12">
        <f t="shared" ref="T86:T89" si="19">P86-(S86/2)</f>
        <v>2.9109784890627086</v>
      </c>
      <c r="U86" s="12">
        <f t="shared" ref="U86:U89" si="20">P86+(S86/2)</f>
        <v>2.9166931081113363</v>
      </c>
    </row>
    <row r="87" spans="14:22">
      <c r="O87" s="8" t="s">
        <v>130</v>
      </c>
      <c r="P87" s="12">
        <f>T69</f>
        <v>3.2899907116491161</v>
      </c>
      <c r="Q87" s="8">
        <f t="shared" si="16"/>
        <v>1.2748455057276911E-2</v>
      </c>
      <c r="R87" s="20">
        <f t="shared" si="17"/>
        <v>1.5621417612026226E-4</v>
      </c>
      <c r="S87" s="8">
        <f t="shared" si="18"/>
        <v>6.4523346166985868E-3</v>
      </c>
      <c r="T87" s="12">
        <f t="shared" si="19"/>
        <v>3.2867645443407669</v>
      </c>
      <c r="U87" s="12">
        <f t="shared" si="20"/>
        <v>3.2932168789574652</v>
      </c>
    </row>
    <row r="88" spans="14:22">
      <c r="O88" s="8" t="s">
        <v>157</v>
      </c>
      <c r="P88" s="12">
        <f>T71</f>
        <v>3.5477061032753303</v>
      </c>
      <c r="Q88" s="8">
        <f t="shared" si="16"/>
        <v>1.3747081915426446E-2</v>
      </c>
      <c r="R88" s="20">
        <f t="shared" si="17"/>
        <v>1.6845092725571454E-4</v>
      </c>
      <c r="S88" s="8">
        <f t="shared" si="18"/>
        <v>6.9577664213410799E-3</v>
      </c>
      <c r="T88" s="12">
        <f t="shared" si="19"/>
        <v>3.5442272200646596</v>
      </c>
      <c r="U88" s="12">
        <f t="shared" si="20"/>
        <v>3.551184986486001</v>
      </c>
    </row>
    <row r="89" spans="14:22">
      <c r="O89" s="8" t="s">
        <v>158</v>
      </c>
      <c r="P89" s="12">
        <f>T73</f>
        <v>4.2044907415828883</v>
      </c>
      <c r="Q89" s="8">
        <f t="shared" si="16"/>
        <v>1.6292070694308679E-2</v>
      </c>
      <c r="R89" s="20">
        <f t="shared" si="17"/>
        <v>1.9963614331069591E-4</v>
      </c>
      <c r="S89" s="8">
        <f t="shared" si="18"/>
        <v>8.2458534188096875E-3</v>
      </c>
      <c r="T89" s="12">
        <f t="shared" si="19"/>
        <v>4.2003678148734833</v>
      </c>
      <c r="U89" s="12">
        <f t="shared" si="20"/>
        <v>4.2086136682922932</v>
      </c>
    </row>
    <row r="90" spans="14:22">
      <c r="O90" s="8" t="s">
        <v>131</v>
      </c>
      <c r="P90" s="12">
        <f>C78</f>
        <v>4.4268179219747275</v>
      </c>
    </row>
    <row r="91" spans="14:22">
      <c r="O91" s="8" t="s">
        <v>132</v>
      </c>
      <c r="P91" s="14">
        <f>S48</f>
        <v>4.4660000000000002</v>
      </c>
    </row>
    <row r="95" spans="14:22">
      <c r="O95" s="8" t="s">
        <v>145</v>
      </c>
      <c r="P95" s="8" t="s">
        <v>156</v>
      </c>
      <c r="Q95" s="8" t="s">
        <v>154</v>
      </c>
      <c r="R95" s="8" t="s">
        <v>155</v>
      </c>
    </row>
    <row r="96" spans="14:22">
      <c r="N96" s="8" t="s">
        <v>143</v>
      </c>
      <c r="O96" s="14">
        <f>P83</f>
        <v>2.1440000000000001</v>
      </c>
    </row>
    <row r="97" spans="14:18">
      <c r="N97" s="8" t="s">
        <v>152</v>
      </c>
      <c r="O97" s="14">
        <f>Q97-P97</f>
        <v>0.15672831210109095</v>
      </c>
      <c r="P97" s="12">
        <f>O96</f>
        <v>2.1440000000000001</v>
      </c>
      <c r="Q97" s="12">
        <f>P84</f>
        <v>2.3007283121010911</v>
      </c>
      <c r="R97" s="12">
        <f>Q97-P97</f>
        <v>0.15672831210109095</v>
      </c>
    </row>
    <row r="98" spans="14:18">
      <c r="N98" s="8" t="s">
        <v>144</v>
      </c>
      <c r="O98" s="21">
        <f>AVERAGE(P98:Q98)</f>
        <v>2.5006070352706873</v>
      </c>
      <c r="P98" s="12">
        <f>Q97</f>
        <v>2.3007283121010911</v>
      </c>
      <c r="Q98" s="12">
        <f>T85</f>
        <v>2.7004857584402839</v>
      </c>
      <c r="R98" s="12">
        <f t="shared" ref="R98:R109" si="21">Q98-P98</f>
        <v>0.39975744633919286</v>
      </c>
    </row>
    <row r="99" spans="14:18">
      <c r="N99" s="8" t="s">
        <v>146</v>
      </c>
      <c r="O99" s="21">
        <f>AVERAGE(P99:Q99)</f>
        <v>2.7031364560345317</v>
      </c>
      <c r="P99" s="12" cm="1">
        <f t="array" ref="P99:Q99">T85:U85</f>
        <v>2.7004857584402839</v>
      </c>
      <c r="Q99" s="12">
        <v>2.7057871536287794</v>
      </c>
      <c r="R99" s="12">
        <f t="shared" si="21"/>
        <v>5.3013951884954835E-3</v>
      </c>
    </row>
    <row r="100" spans="14:18">
      <c r="N100" s="8" t="s">
        <v>147</v>
      </c>
      <c r="O100" s="21">
        <f>AVERAGE(P100:Q100)</f>
        <v>2.8083828213457442</v>
      </c>
      <c r="P100" s="12">
        <f>U85</f>
        <v>2.7057871536287794</v>
      </c>
      <c r="Q100" s="12">
        <f>T86</f>
        <v>2.9109784890627086</v>
      </c>
      <c r="R100" s="12">
        <f t="shared" si="21"/>
        <v>0.2051913354339292</v>
      </c>
    </row>
    <row r="101" spans="14:18">
      <c r="N101" s="8" t="s">
        <v>148</v>
      </c>
      <c r="O101" s="21">
        <f>AVERAGE(P101:Q101)</f>
        <v>2.9138357985870225</v>
      </c>
      <c r="P101" s="12" cm="1">
        <f t="array" ref="P101:Q101">T86:U86</f>
        <v>2.9109784890627086</v>
      </c>
      <c r="Q101" s="12">
        <v>2.9166931081113363</v>
      </c>
      <c r="R101" s="12">
        <f t="shared" si="21"/>
        <v>5.7146190486276893E-3</v>
      </c>
    </row>
    <row r="102" spans="14:18">
      <c r="N102" s="8" t="s">
        <v>149</v>
      </c>
      <c r="O102" s="21">
        <f>AVERAGE(P102:Q102)</f>
        <v>3.1017288262260516</v>
      </c>
      <c r="P102" s="12">
        <f>Q101</f>
        <v>2.9166931081113363</v>
      </c>
      <c r="Q102" s="12">
        <f>T87</f>
        <v>3.2867645443407669</v>
      </c>
      <c r="R102" s="12">
        <f t="shared" si="21"/>
        <v>0.37007143622943062</v>
      </c>
    </row>
    <row r="103" spans="14:18">
      <c r="N103" s="8" t="s">
        <v>150</v>
      </c>
      <c r="O103" s="21">
        <f>AVERAGE(P103:Q103)</f>
        <v>3.2899907116491161</v>
      </c>
      <c r="P103" s="12" cm="1">
        <f t="array" ref="P103:Q103">T87:U87</f>
        <v>3.2867645443407669</v>
      </c>
      <c r="Q103" s="12">
        <v>3.2932168789574652</v>
      </c>
      <c r="R103" s="12">
        <f t="shared" si="21"/>
        <v>6.452334616698252E-3</v>
      </c>
    </row>
    <row r="104" spans="14:18">
      <c r="N104" s="8" t="s">
        <v>151</v>
      </c>
      <c r="O104" s="21">
        <f>AVERAGE(P104:Q104)</f>
        <v>3.4187220495110626</v>
      </c>
      <c r="P104" s="12">
        <f>Q103</f>
        <v>3.2932168789574652</v>
      </c>
      <c r="Q104" s="12">
        <f>T88</f>
        <v>3.5442272200646596</v>
      </c>
      <c r="R104" s="12">
        <f t="shared" si="21"/>
        <v>0.25101034110719445</v>
      </c>
    </row>
    <row r="105" spans="14:18">
      <c r="N105" s="8" t="s">
        <v>178</v>
      </c>
      <c r="O105" s="21">
        <f>AVERAGE(P105:Q105)</f>
        <v>3.5477061032753303</v>
      </c>
      <c r="P105" s="12" cm="1">
        <f t="array" ref="P105:Q105">T88:U88</f>
        <v>3.5442272200646596</v>
      </c>
      <c r="Q105" s="12">
        <v>3.551184986486001</v>
      </c>
      <c r="R105" s="12">
        <f t="shared" si="21"/>
        <v>6.9577664213413826E-3</v>
      </c>
    </row>
    <row r="106" spans="14:18">
      <c r="N106" s="8" t="s">
        <v>179</v>
      </c>
      <c r="O106" s="21">
        <f>AVERAGE(P106:Q106)</f>
        <v>3.8757764006797419</v>
      </c>
      <c r="P106" s="12">
        <f>Q105</f>
        <v>3.551184986486001</v>
      </c>
      <c r="Q106" s="12">
        <f>T89</f>
        <v>4.2003678148734833</v>
      </c>
      <c r="R106" s="12">
        <f t="shared" si="21"/>
        <v>0.64918282838748231</v>
      </c>
    </row>
    <row r="107" spans="14:18">
      <c r="N107" s="8" t="s">
        <v>180</v>
      </c>
      <c r="O107" s="21">
        <f>AVERAGE(P107:Q107)</f>
        <v>4.2044907415828883</v>
      </c>
      <c r="P107" s="12" cm="1">
        <f t="array" ref="P107:Q107">T89:U89</f>
        <v>4.2003678148734833</v>
      </c>
      <c r="Q107" s="12">
        <v>4.2086136682922932</v>
      </c>
      <c r="R107" s="12">
        <f t="shared" si="21"/>
        <v>8.2458534188099009E-3</v>
      </c>
    </row>
    <row r="108" spans="14:18">
      <c r="N108" s="8" t="s">
        <v>179</v>
      </c>
      <c r="O108" s="21">
        <f>AVERAGE(P108:Q108)</f>
        <v>4.3177157951335108</v>
      </c>
      <c r="P108" s="12">
        <f>Q107</f>
        <v>4.2086136682922932</v>
      </c>
      <c r="Q108" s="12">
        <f>P90</f>
        <v>4.4268179219747275</v>
      </c>
      <c r="R108" s="12">
        <f t="shared" si="21"/>
        <v>0.21820425368243423</v>
      </c>
    </row>
    <row r="109" spans="14:18">
      <c r="N109" s="8" t="s">
        <v>153</v>
      </c>
      <c r="O109" s="21">
        <f>AVERAGE(P109:Q109)</f>
        <v>4.4464089609873643</v>
      </c>
      <c r="P109" s="12">
        <f>Q108</f>
        <v>4.4268179219747275</v>
      </c>
      <c r="Q109" s="12">
        <f>O110</f>
        <v>4.4660000000000002</v>
      </c>
      <c r="R109" s="12">
        <f t="shared" si="21"/>
        <v>3.9182078025272737E-2</v>
      </c>
    </row>
    <row r="110" spans="14:18">
      <c r="N110" s="8" t="s">
        <v>143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Stele-Rosetta system</vt:lpstr>
      <vt:lpstr>Stele</vt:lpstr>
      <vt:lpstr>Hororology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2025-09-13T21:15:52Z</dcterms:modified>
</cp:coreProperties>
</file>